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B5DA87536506ABF/project/"/>
    </mc:Choice>
  </mc:AlternateContent>
  <xr:revisionPtr revIDLastSave="0" documentId="8_{C064D7C0-B808-4434-B3B0-8E8C1BE31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X Measure Dictionary" sheetId="1" r:id="rId1"/>
    <sheet name="ECL Crosscheck" sheetId="2" r:id="rId2"/>
    <sheet name="Waterfall Validation" sheetId="3" r:id="rId3"/>
    <sheet name="Vintage Static Pool" sheetId="4" r:id="rId4"/>
    <sheet name="Dynamic Loss Analysi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5" l="1"/>
  <c r="E25" i="5" s="1"/>
  <c r="B25" i="5"/>
  <c r="C24" i="5"/>
  <c r="E24" i="5" s="1"/>
  <c r="B24" i="5"/>
  <c r="E23" i="5"/>
  <c r="C23" i="5"/>
  <c r="B23" i="5"/>
  <c r="C22" i="5"/>
  <c r="E22" i="5" s="1"/>
  <c r="B22" i="5"/>
  <c r="C21" i="5"/>
  <c r="E21" i="5" s="1"/>
  <c r="B21" i="5"/>
  <c r="C20" i="5"/>
  <c r="E20" i="5" s="1"/>
  <c r="B20" i="5"/>
  <c r="C32" i="3"/>
  <c r="C31" i="3"/>
  <c r="F25" i="3"/>
  <c r="G25" i="3" s="1"/>
  <c r="D25" i="3"/>
  <c r="C25" i="3"/>
  <c r="D24" i="3"/>
  <c r="F24" i="3" s="1"/>
  <c r="G24" i="3" s="1"/>
  <c r="C24" i="3"/>
  <c r="D20" i="3"/>
  <c r="F20" i="3" s="1"/>
  <c r="G20" i="3" s="1"/>
  <c r="C20" i="3"/>
  <c r="D18" i="3"/>
  <c r="F18" i="3" s="1"/>
  <c r="G18" i="3" s="1"/>
  <c r="C18" i="3"/>
  <c r="D17" i="3"/>
  <c r="C19" i="3" s="1"/>
  <c r="C17" i="3"/>
  <c r="F16" i="3"/>
  <c r="G16" i="3" s="1"/>
  <c r="D16" i="3"/>
  <c r="D19" i="3" s="1"/>
  <c r="C16" i="3"/>
  <c r="C49" i="2"/>
  <c r="C48" i="2"/>
  <c r="C47" i="2"/>
  <c r="H42" i="2"/>
  <c r="F42" i="2"/>
  <c r="C42" i="2"/>
  <c r="E41" i="2"/>
  <c r="D41" i="2"/>
  <c r="G41" i="2" s="1"/>
  <c r="I41" i="2" s="1"/>
  <c r="J41" i="2" s="1"/>
  <c r="G40" i="2"/>
  <c r="I40" i="2" s="1"/>
  <c r="J40" i="2" s="1"/>
  <c r="E40" i="2"/>
  <c r="D40" i="2"/>
  <c r="E39" i="2"/>
  <c r="G39" i="2" s="1"/>
  <c r="I39" i="2" s="1"/>
  <c r="J39" i="2" s="1"/>
  <c r="D39" i="2"/>
  <c r="E38" i="2"/>
  <c r="D38" i="2"/>
  <c r="G38" i="2" s="1"/>
  <c r="I38" i="2" s="1"/>
  <c r="J38" i="2" s="1"/>
  <c r="G37" i="2"/>
  <c r="I37" i="2" s="1"/>
  <c r="J37" i="2" s="1"/>
  <c r="E37" i="2"/>
  <c r="D37" i="2"/>
  <c r="G36" i="2"/>
  <c r="I36" i="2" s="1"/>
  <c r="J36" i="2" s="1"/>
  <c r="E36" i="2"/>
  <c r="D36" i="2"/>
  <c r="E35" i="2"/>
  <c r="D35" i="2"/>
  <c r="G35" i="2" s="1"/>
  <c r="I35" i="2" s="1"/>
  <c r="J35" i="2" s="1"/>
  <c r="G34" i="2"/>
  <c r="I34" i="2" s="1"/>
  <c r="J34" i="2" s="1"/>
  <c r="E34" i="2"/>
  <c r="D34" i="2"/>
  <c r="E33" i="2"/>
  <c r="G33" i="2" s="1"/>
  <c r="I33" i="2" s="1"/>
  <c r="J33" i="2" s="1"/>
  <c r="D33" i="2"/>
  <c r="E32" i="2"/>
  <c r="D32" i="2"/>
  <c r="G32" i="2" s="1"/>
  <c r="I32" i="2" s="1"/>
  <c r="J32" i="2" s="1"/>
  <c r="E31" i="2"/>
  <c r="D31" i="2"/>
  <c r="G31" i="2" s="1"/>
  <c r="I31" i="2" s="1"/>
  <c r="J31" i="2" s="1"/>
  <c r="E30" i="2"/>
  <c r="G30" i="2" s="1"/>
  <c r="I30" i="2" s="1"/>
  <c r="J30" i="2" s="1"/>
  <c r="D30" i="2"/>
  <c r="E29" i="2"/>
  <c r="D29" i="2"/>
  <c r="G29" i="2" s="1"/>
  <c r="I29" i="2" s="1"/>
  <c r="J29" i="2" s="1"/>
  <c r="G28" i="2"/>
  <c r="I28" i="2" s="1"/>
  <c r="J28" i="2" s="1"/>
  <c r="E28" i="2"/>
  <c r="D28" i="2"/>
  <c r="E27" i="2"/>
  <c r="G27" i="2" s="1"/>
  <c r="I27" i="2" s="1"/>
  <c r="J27" i="2" s="1"/>
  <c r="D27" i="2"/>
  <c r="E26" i="2"/>
  <c r="D26" i="2"/>
  <c r="G26" i="2" s="1"/>
  <c r="I26" i="2" s="1"/>
  <c r="J26" i="2" s="1"/>
  <c r="G25" i="2"/>
  <c r="I25" i="2" s="1"/>
  <c r="J25" i="2" s="1"/>
  <c r="E25" i="2"/>
  <c r="D25" i="2"/>
  <c r="G24" i="2"/>
  <c r="I24" i="2" s="1"/>
  <c r="J24" i="2" s="1"/>
  <c r="E24" i="2"/>
  <c r="D24" i="2"/>
  <c r="E23" i="2"/>
  <c r="D23" i="2"/>
  <c r="G23" i="2" s="1"/>
  <c r="I23" i="2" s="1"/>
  <c r="J23" i="2" s="1"/>
  <c r="G22" i="2"/>
  <c r="I22" i="2" s="1"/>
  <c r="J22" i="2" s="1"/>
  <c r="E22" i="2"/>
  <c r="D22" i="2"/>
  <c r="E21" i="2"/>
  <c r="G21" i="2" s="1"/>
  <c r="D21" i="2"/>
  <c r="E20" i="2"/>
  <c r="D20" i="2"/>
  <c r="G20" i="2" s="1"/>
  <c r="I20" i="2" s="1"/>
  <c r="J20" i="2" s="1"/>
  <c r="E19" i="2"/>
  <c r="D19" i="2"/>
  <c r="G19" i="2" s="1"/>
  <c r="E18" i="2"/>
  <c r="G18" i="2" s="1"/>
  <c r="I18" i="2" s="1"/>
  <c r="J18" i="2" s="1"/>
  <c r="D18" i="2"/>
  <c r="E17" i="2"/>
  <c r="D17" i="2"/>
  <c r="G17" i="2" s="1"/>
  <c r="I17" i="2" s="1"/>
  <c r="J17" i="2" s="1"/>
  <c r="G16" i="2"/>
  <c r="I16" i="2" s="1"/>
  <c r="J16" i="2" s="1"/>
  <c r="E16" i="2"/>
  <c r="D16" i="2"/>
  <c r="E15" i="2"/>
  <c r="G15" i="2" s="1"/>
  <c r="I15" i="2" s="1"/>
  <c r="J15" i="2" s="1"/>
  <c r="D15" i="2"/>
  <c r="E14" i="2"/>
  <c r="D14" i="2"/>
  <c r="G14" i="2" s="1"/>
  <c r="I14" i="2" s="1"/>
  <c r="J14" i="2" s="1"/>
  <c r="G13" i="2"/>
  <c r="I13" i="2" s="1"/>
  <c r="J13" i="2" s="1"/>
  <c r="E13" i="2"/>
  <c r="D13" i="2"/>
  <c r="G12" i="2"/>
  <c r="E12" i="2"/>
  <c r="D12" i="2"/>
  <c r="B49" i="2" l="1"/>
  <c r="I21" i="2"/>
  <c r="J21" i="2" s="1"/>
  <c r="G42" i="2"/>
  <c r="I19" i="2"/>
  <c r="J19" i="2" s="1"/>
  <c r="B48" i="2"/>
  <c r="F19" i="3"/>
  <c r="G19" i="3" s="1"/>
  <c r="D21" i="3"/>
  <c r="C21" i="3"/>
  <c r="F17" i="3"/>
  <c r="G17" i="3" s="1"/>
  <c r="B47" i="2"/>
  <c r="I12" i="2"/>
  <c r="J12" i="2" l="1"/>
  <c r="I42" i="2"/>
  <c r="D22" i="3"/>
  <c r="F22" i="3" s="1"/>
  <c r="G22" i="3" s="1"/>
  <c r="C22" i="3"/>
  <c r="F21" i="3"/>
  <c r="G21" i="3" s="1"/>
  <c r="C23" i="3" l="1"/>
  <c r="D23" i="3"/>
  <c r="F23" i="3" l="1"/>
  <c r="G23" i="3" s="1"/>
  <c r="D26" i="3"/>
  <c r="F26" i="3" s="1"/>
  <c r="G26" i="3" s="1"/>
  <c r="C26" i="3"/>
</calcChain>
</file>

<file path=xl/sharedStrings.xml><?xml version="1.0" encoding="utf-8"?>
<sst xmlns="http://schemas.openxmlformats.org/spreadsheetml/2006/main" count="1227" uniqueCount="383">
  <si>
    <t>DAX MEASURE DICTIONARY – Securitisation Risk Dashboard</t>
  </si>
  <si>
    <t>#</t>
  </si>
  <si>
    <t>Measure Name</t>
  </si>
  <si>
    <t>DAX Formula</t>
  </si>
  <si>
    <t>Business Purpose</t>
  </si>
  <si>
    <t>Table</t>
  </si>
  <si>
    <t>Category</t>
  </si>
  <si>
    <t>Pool Factor</t>
  </si>
  <si>
    <t>DIVIDE(SUM(Loans[CurrentBalance]), CALCULATE(SUM(Loans[OriginalLoanAmount]),ALL(DimDate)))</t>
  </si>
  <si>
    <t>Current Balance / Original Balance ratio showing pool amortisation</t>
  </si>
  <si>
    <t>FactLoanPerformance</t>
  </si>
  <si>
    <t>Pool Health</t>
  </si>
  <si>
    <t>Total Outstanding Balance</t>
  </si>
  <si>
    <t>SUM(Loans[CurrentBalance])</t>
  </si>
  <si>
    <t>Total outstanding principal balance of the pool</t>
  </si>
  <si>
    <t>Original Pool Balance</t>
  </si>
  <si>
    <t>CALCULATE(SUM(Loans[OriginalLoanAmount]),ALL(DimDate))</t>
  </si>
  <si>
    <t>Original pool balance at deal inception</t>
  </si>
  <si>
    <t>Active Loan Count</t>
  </si>
  <si>
    <t>COUNTROWS(FILTER(Loans, Loans[IsDefaulted]=FALSE))</t>
  </si>
  <si>
    <t>Number of performing loans in pool</t>
  </si>
  <si>
    <t>Collection Efficiency</t>
  </si>
  <si>
    <t>DIVIDE(SUM(Loans[LastPaymentAmount]), SUM(Loans[ScheduledPaymentDue]))</t>
  </si>
  <si>
    <t>Actual collections vs scheduled EMI due</t>
  </si>
  <si>
    <t>WAC</t>
  </si>
  <si>
    <t>DIVIDE(SUMX(Loans, Loans[InterestRate]*Loans[CurrentBalance]), SUM(Loans[CurrentBalance]))</t>
  </si>
  <si>
    <t>Weighted Average Coupon – interest rate weighted by balance</t>
  </si>
  <si>
    <t>Loans</t>
  </si>
  <si>
    <t>Weighted Avg</t>
  </si>
  <si>
    <t>WAM</t>
  </si>
  <si>
    <t>DIVIDE(SUMX(Loans, Loans[RemainingTerm]*Loans[CurrentBalance]), SUM(Loans[CurrentBalance]))</t>
  </si>
  <si>
    <t>Weighted Average Maturity – remaining term weighted by balance</t>
  </si>
  <si>
    <t>WALA</t>
  </si>
  <si>
    <t>DIVIDE(SUMX(Loans, Loans[MonthsOnBook]*Loans[CurrentBalance]), SUM(Loans[CurrentBalance]))</t>
  </si>
  <si>
    <t>Weighted Average Loan Age – seasoning weighted by balance</t>
  </si>
  <si>
    <t>Weighted Avg LTV</t>
  </si>
  <si>
    <t>DIVIDE(SUMX(Loans, Loans[LTV_Current]*Loans[CurrentBalance]), SUM(Loans[CurrentBalance]))</t>
  </si>
  <si>
    <t>Loan-to-Value ratio weighted by current balance</t>
  </si>
  <si>
    <t>Weighted Avg CIBIL</t>
  </si>
  <si>
    <t>DIVIDE(SUMX(Loans, Loans[CIBIL_Score_Current]*Loans[CurrentBalance]), SUM(Loans[CurrentBalance]))</t>
  </si>
  <si>
    <t>Credit score weighted by current balance</t>
  </si>
  <si>
    <t>Weighted Avg DTI</t>
  </si>
  <si>
    <t>DIVIDE(SUMX(Loans, Loans[DTI_Ratio]*Loans[CurrentBalance]), SUM(Loans[CurrentBalance]))</t>
  </si>
  <si>
    <t>Debt-to-income ratio weighted by current balance</t>
  </si>
  <si>
    <t>30Plus DPD Balance</t>
  </si>
  <si>
    <t>CALCULATE(SUM(Loans[CurrentBalance]), Loans[DelinquencyDays]&gt;=30)</t>
  </si>
  <si>
    <t>Balance of loans 30+ days past due</t>
  </si>
  <si>
    <t>DPD</t>
  </si>
  <si>
    <t>30Plus DPD Rate</t>
  </si>
  <si>
    <t>DIVIDE([30Plus DPD Balance], SUM(Loans[CurrentBalance]))</t>
  </si>
  <si>
    <t>% of pool balance that is 30+ DPD</t>
  </si>
  <si>
    <t>60Plus DPD Balance</t>
  </si>
  <si>
    <t>CALCULATE(SUM(Loans[CurrentBalance]), Loans[DelinquencyDays]&gt;=60)</t>
  </si>
  <si>
    <t>Balance of loans 60+ days past due</t>
  </si>
  <si>
    <t>60Plus DPD Rate</t>
  </si>
  <si>
    <t>DIVIDE([60Plus DPD Balance], SUM(Loans[CurrentBalance]))</t>
  </si>
  <si>
    <t>% of pool balance that is 60+ DPD</t>
  </si>
  <si>
    <t>90Plus DPD Balance</t>
  </si>
  <si>
    <t>CALCULATE(SUM(Loans[CurrentBalance]), Loans[DelinquencyDays]&gt;=90)</t>
  </si>
  <si>
    <t>Balance of loans 90+ DPD (NPA under RBI)</t>
  </si>
  <si>
    <t>NPA Rate (RBI)</t>
  </si>
  <si>
    <t>DIVIDE([90Plus DPD Balance], SUM(Loans[CurrentBalance]))</t>
  </si>
  <si>
    <t>NPA rate per RBI IRAC norms (90+ DPD)</t>
  </si>
  <si>
    <t>DPD % of Pool (Balance)</t>
  </si>
  <si>
    <t>DIVIDE(SUM(FactLoanPerformance[CurrentBalance]), CALCULATE(SUM(FactLoanPerformance[CurrentBalance]),REMOVEFILTERS(FactLoanPerformance[DPD_Bucket])))</t>
  </si>
  <si>
    <t>% of total pool in each DPD bucket</t>
  </si>
  <si>
    <t>Cure Rate</t>
  </si>
  <si>
    <t>VAR DelinqLastMonth = CALCULATETABLE(VALUES(FactLoanPerformance[LoanID]), FactLoanPerformance[DPD_Days]&gt;=30, PREVIOUSMONTH(DimDate[Date])) RETURN DIVIDE(CALCULATE(SUM(FactLoanPerformance[CurrentBalance]), FactLoanPerformance[DPD_Days]=0, TREATAS(DelinqLastMonth, FactLoanPerformance[LoanID])), CALCULATE(SUM(FactLoanPerformance[CurrentBalance]), FactLoanPerformance[DPD_Days]&gt;=30, PREVIOUSMONTH(DimDate[Date])))</t>
  </si>
  <si>
    <t>% of delinquent loans that cured to current</t>
  </si>
  <si>
    <t>Chronic Delinquency Rate</t>
  </si>
  <si>
    <t>DIVIDE(CALCULATE(SUM(FactLoanPerformance[CurrentBalance]), FactLoanPerformance[DPD_Days]&gt;=30, FactLoanPerformance[ConsecutiveMonthsDelinquent]&gt;=3), SUM(FactLoanPerformance[CurrentBalance]))</t>
  </si>
  <si>
    <t>Loans 30+ DPD for 3+ consecutive months</t>
  </si>
  <si>
    <t>IFRS9 Stage Classification</t>
  </si>
  <si>
    <t>SWITCH(TRUE(), Loans[DelinquencyDays]=0 || Loans[DelinquencyDays]&lt;=29, 1, Loans[DelinquencyDays]&lt;=89, 2, 3)</t>
  </si>
  <si>
    <t>Stage 1/2/3 per IFRS 9 / Ind AS 109</t>
  </si>
  <si>
    <t>IFRS9 ECL</t>
  </si>
  <si>
    <t>Portfolio ECL</t>
  </si>
  <si>
    <t>SUMX(Loans, CALCULATE([PD_Estimate]*[LGD_Estimate]*Loans[EAD]))</t>
  </si>
  <si>
    <t>Total Expected Credit Loss across portfolio</t>
  </si>
  <si>
    <t>Stage 1 ECL</t>
  </si>
  <si>
    <t>CALCULATE(SUM(Loans[ECL_Provision]), Loans[IFRS9_Stage]=1)</t>
  </si>
  <si>
    <t>12-month ECL for Stage 1 (performing) loans</t>
  </si>
  <si>
    <t>Stage 2 ECL</t>
  </si>
  <si>
    <t>CALCULATE(SUM(Loans[ECL_Provision]), Loans[IFRS9_Stage]=2)</t>
  </si>
  <si>
    <t>Lifetime ECL for Stage 2 (SICR) loans</t>
  </si>
  <si>
    <t>Stage 3 ECL</t>
  </si>
  <si>
    <t>CALCULATE(SUM(Loans[ECL_Provision]), Loans[IFRS9_Stage]=3)</t>
  </si>
  <si>
    <t>Lifetime ECL for Stage 3 (defaulted) loans</t>
  </si>
  <si>
    <t>ECL Coverage Ratio</t>
  </si>
  <si>
    <t>DIVIDE([Portfolio ECL], SUM(Loans[CurrentBalance]))</t>
  </si>
  <si>
    <t>ECL as % of total outstanding balance</t>
  </si>
  <si>
    <t>Cumulative Default Rate</t>
  </si>
  <si>
    <t>DIVIDE(CALCULATE(SUM(Loans[CurrentBalance]), Loans[IsDefaulted]=TRUE, ALL(DimDate)), CALCULATE(SUM(Loans[OriginalLoanAmount]), ALL(DimDate)))</t>
  </si>
  <si>
    <t>Cumulative defaults / Original pool balance</t>
  </si>
  <si>
    <t>Loss</t>
  </si>
  <si>
    <t>Recovery Rate</t>
  </si>
  <si>
    <t>DIVIDE(CALCULATE(SUM(DynamicLoss[Recoveries_ThisMonth])), CALCULATE(SUM(DynamicLoss[GrossLoss_ThisMonth])))</t>
  </si>
  <si>
    <t>Recoveries as % of gross losses</t>
  </si>
  <si>
    <t>FactDynamicLoss</t>
  </si>
  <si>
    <t>Loss Severity</t>
  </si>
  <si>
    <t>1 - [Recovery Rate]</t>
  </si>
  <si>
    <t>1 minus Recovery Rate = LGD proxy</t>
  </si>
  <si>
    <t>Annualised Net Loss Rate</t>
  </si>
  <si>
    <t>DIVIDE(SUM(DynamicLoss[NetLoss_ThisMonth]), DIVIDE(CALCULATE(SUM(DynamicLoss[BOP_Balance]))+SUM(DynamicLoss[EOP_Balance]),2)) * 12</t>
  </si>
  <si>
    <t>Annualised net loss rate on average pool balance</t>
  </si>
  <si>
    <t>Rolling 12M Net Loss Rate</t>
  </si>
  <si>
    <t>VAR Last12M = CALCULATE(SUM(DynamicLoss[NetLoss_ThisMonth]), DATESINPERIOD(DimDate[Date], MAX(DimDate[Date]), -12, MONTH)) VAR AvgBal = AVERAGEX(DATESINPERIOD(DimDate[Date], MAX(DimDate[Date]), -12, MONTH), CALCULATE(SUM(DynamicLoss[BOP_Balance]))) RETURN DIVIDE(Last12M, AvgBal)</t>
  </si>
  <si>
    <t>12-month rolling net loss rate</t>
  </si>
  <si>
    <t>SMM</t>
  </si>
  <si>
    <t>DIVIDE(SUM(DynamicLoss[Prepayments_ThisMonth]), CALCULATE(SUM(DynamicLoss[BOP_Balance]))-SUM(DynamicLoss[ScheduledAmort]))</t>
  </si>
  <si>
    <t>Single Month Mortality – monthly prepayment speed</t>
  </si>
  <si>
    <t>Prepayment</t>
  </si>
  <si>
    <t>CPR</t>
  </si>
  <si>
    <t>1 - POWER(1 - [SMM], 12)</t>
  </si>
  <si>
    <t>Conditional Prepayment Rate – annualised prepayment speed</t>
  </si>
  <si>
    <t>CDR</t>
  </si>
  <si>
    <t>VAR MDR = DIVIDE([Defaults This Month], CALCULATE(SUM(Loans[CurrentBalance]), PREVIOUSMONTH(DimDate[Date]))) RETURN 1 - POWER(1 - MDR, 12)</t>
  </si>
  <si>
    <t>Constant Default Rate – annualised default rate</t>
  </si>
  <si>
    <t>Static CNL Rate</t>
  </si>
  <si>
    <t>VAR CumNetLoss = CALCULATE(MAX(StaticPool[CumulativeNetLoss]), StaticPool[VintageID]=SELECTEDVALUE(StaticPool[VintageID]), StaticPool[MonthsOnBook]=MAX(StaticPool[MonthsOnBook])) VAR OrigBal = CALCULATE(MAX(StaticPool[OriginalPoolBalance]), StaticPool[VintageID]=SELECTEDVALUE(StaticPool[VintageID])) RETURN DIVIDE(CumNetLoss, OrigBal)</t>
  </si>
  <si>
    <t>Cumulative Net Loss Rate for selected vintage</t>
  </si>
  <si>
    <t>FactStaticPool</t>
  </si>
  <si>
    <t>Vintage</t>
  </si>
  <si>
    <t>CNL at 12 Months</t>
  </si>
  <si>
    <t>CALCULATE(MAX(StaticPool[CumulativeNetLossRate]), StaticPool[MonthsOnBook]=12)</t>
  </si>
  <si>
    <t>Cumulative net loss at month 12 – vintage comparison</t>
  </si>
  <si>
    <t>CNL at 24 Months</t>
  </si>
  <si>
    <t>CALCULATE(MAX(StaticPool[CumulativeNetLossRate]), StaticPool[MonthsOnBook]=24)</t>
  </si>
  <si>
    <t>Cumulative net loss at month 24 – vintage comparison</t>
  </si>
  <si>
    <t>Projected Ultimate CNL</t>
  </si>
  <si>
    <t>DIVIDE([Static CNL Rate], CALCULATE(MAX(LossTimingCurve[CumulativePctOfLoss]), LossTimingCurve[MonthsOnBook]=MAX(StaticPool[MonthsOnBook])))</t>
  </si>
  <si>
    <t>Extrapolated lifetime loss using loss timing curve</t>
  </si>
  <si>
    <t>Credit Enhancement %</t>
  </si>
  <si>
    <t>DIVIDE([Subordinated Tranche Balance]+[Reserve Account Balance]+([Pool Balance]-[Senior Tranche Balance]), SUM(Loans[CurrentBalance]))</t>
  </si>
  <si>
    <t>Total credit enhancement available to senior tranche</t>
  </si>
  <si>
    <t>WaterfallModel</t>
  </si>
  <si>
    <t>Waterfall</t>
  </si>
  <si>
    <t>OC Test (Senior)</t>
  </si>
  <si>
    <t>DIVIDE(SUM(Loans[CurrentBalance]), [Senior Tranche Balance])</t>
  </si>
  <si>
    <t>Overcollateralisation ratio for senior tranche; trigger &gt;= 120%</t>
  </si>
  <si>
    <t>IC Test (Senior)</t>
  </si>
  <si>
    <t>DIVIDE([Pool Interest Collections], [Total Senior Interest Due])</t>
  </si>
  <si>
    <t>Interest Coverage ratio for senior tranche; trigger &gt;= 130%</t>
  </si>
  <si>
    <t>Monthly Excess Spread</t>
  </si>
  <si>
    <t>[Pool Interest Collections] - [Total Tranche Interest Due] - [Servicer Fee] - [Trustee Fee] - SUM(DynamicLoss[NetLoss_ThisMonth])</t>
  </si>
  <si>
    <t>Monthly excess spread available after all costs and losses</t>
  </si>
  <si>
    <t>Delinquency Trigger Test</t>
  </si>
  <si>
    <t>IF(DIVIDE([30Plus DPD Balance], SUM(Loans[CurrentBalance]))&gt;0.05, "BREACH", "PASS")</t>
  </si>
  <si>
    <t>Delinquency trigger: breach if 30+ DPD &gt; 5%</t>
  </si>
  <si>
    <t>Loss Trigger Test</t>
  </si>
  <si>
    <t>IF([Cumulative Default Rate]&gt;0.03, "BREACH", "PASS")</t>
  </si>
  <si>
    <t>Loss trigger: breach if cumulative default rate &gt; 3%</t>
  </si>
  <si>
    <t>HHI Index</t>
  </si>
  <si>
    <t>VAR TotalBal = CALCULATE(SUM(Loans[CurrentBalance]),ALL(DimBorrower)) VAR Shares = ADDCOLUMNS(SUMMARIZE(Loans,DimBorrower[BorrowerID]),"Share",DIVIDE(CALCULATE(SUM(Loans[CurrentBalance])),TotalBal)) RETURN SUMX(Shares,[Share]^2)</t>
  </si>
  <si>
    <t>Herfindahl-Hirschman Index – portfolio concentration measure</t>
  </si>
  <si>
    <t>Concentration</t>
  </si>
  <si>
    <t>Top 10 Borrower Exposure</t>
  </si>
  <si>
    <t>VAR TotalBal=CALCULATE(SUM(Loans[CurrentBalance]),ALL(DimBorrower)) VAR Ranked=ADDCOLUMNS(SUMMARIZE(Loans,DimBorrower[BorrowerID]),"Bal",CALCULATE(SUM(Loans[CurrentBalance]))) VAR Top10=TOPN(10,Ranked,[Bal],DESC) RETURN DIVIDE(SUMX(Top10,[Bal]),TotalBal)</t>
  </si>
  <si>
    <t>% of pool held by top 10 borrowers</t>
  </si>
  <si>
    <t>Geographic Concentration Top5</t>
  </si>
  <si>
    <t>VAR TotalBal=CALCULATE(SUM(Loans[CurrentBalance]),ALL(DimGeography)) VAR Ranked=ADDCOLUMNS(SUMMARIZE(Loans,DimGeography[State]),"Bal",CALCULATE(SUM(Loans[CurrentBalance]))) VAR Top5=TOPN(5,Ranked,[Bal],DESC) RETURN DIVIDE(SUMX(Top5,[Bal]),TotalBal)</t>
  </si>
  <si>
    <t>% of pool in top 5 states</t>
  </si>
  <si>
    <t>30Plus DPD Rate MTD</t>
  </si>
  <si>
    <t>CALCULATE([30Plus DPD Rate], DATESMTD(DimDate[Date]))</t>
  </si>
  <si>
    <t>Month-to-date 30+ DPD rate</t>
  </si>
  <si>
    <t>Time Intel</t>
  </si>
  <si>
    <t>Net Loss YTD</t>
  </si>
  <si>
    <t>CALCULATE(SUM(DynamicLoss[NetLoss_ThisMonth]), DATESYTD(DimDate[Date]))</t>
  </si>
  <si>
    <t>Year-to-date net losses</t>
  </si>
  <si>
    <t>3M Avg 30Plus DPD Rate</t>
  </si>
  <si>
    <t>AVERAGEX(DATESINPERIOD(DimDate[Date],MAX(DimDate[Date]),-3,MONTH), CALCULATE([30Plus DPD Rate by Month]))</t>
  </si>
  <si>
    <t>3-month rolling average delinquency rate</t>
  </si>
  <si>
    <t>DPD Trend Direction</t>
  </si>
  <si>
    <t>VAR C3M=[3M Avg 30Plus DPD Rate] VAR P3M=CALCULATE([3M Avg 30Plus DPD Rate],DATEADD(DimDate[Date],-3,MONTH)) RETURN SWITCH(TRUE(),C3M&gt;P3M*1.1,"Deteriorating",C3M&lt;P3M*0.9,"Improving","Stable")</t>
  </si>
  <si>
    <t>Portfolio delinquency trend: Improving / Stable / Deteriorating</t>
  </si>
  <si>
    <t>NACH Mandate Coverage</t>
  </si>
  <si>
    <t>DIVIDE(CALCULATE(SUM(Loans[CurrentBalance]),Loans[NACH_Status]="Active"), SUM(Loans[CurrentBalance]))</t>
  </si>
  <si>
    <t>% of pool with active NACH auto-debit mandate</t>
  </si>
  <si>
    <t>Regulatory</t>
  </si>
  <si>
    <t>Insurance Coverage Rate</t>
  </si>
  <si>
    <t>DIVIDE(CALCULATE(COUNTROWS(Loans),Loans[InsuranceType]&lt;&gt;"Nil"), COUNTROWS(Loans))</t>
  </si>
  <si>
    <t>% of loans with comprehensive or third-party insurance</t>
  </si>
  <si>
    <t>EV Percentage in Pool</t>
  </si>
  <si>
    <t>DIVIDE(CALCULATE(SUM(Loans[CurrentBalance]),DimVehicle[FuelType]="Electric"), SUM(Loans[CurrentBalance]))</t>
  </si>
  <si>
    <t>% of pool balance that is electric vehicles (ESG metric)</t>
  </si>
  <si>
    <t>IFRS 9 ECL CROSSCHECK – Auto Loan Securitisation Pool</t>
  </si>
  <si>
    <t>ECL ASSUMPTIONS</t>
  </si>
  <si>
    <t>Stage 1 PD (12M)</t>
  </si>
  <si>
    <t>Stage 2 PD (Lifetime)</t>
  </si>
  <si>
    <t>Stage 3 PD (Lifetime)</t>
  </si>
  <si>
    <t>Stage 1 LGD</t>
  </si>
  <si>
    <t>Stage 2 LGD</t>
  </si>
  <si>
    <t>Stage 3 LGD</t>
  </si>
  <si>
    <t>LoanID</t>
  </si>
  <si>
    <t>IFRS9 Stage</t>
  </si>
  <si>
    <t>Current Balance (INR)</t>
  </si>
  <si>
    <t>PD Used</t>
  </si>
  <si>
    <t>LGD Used</t>
  </si>
  <si>
    <t>EAD</t>
  </si>
  <si>
    <t>ECL (Excel Calc)</t>
  </si>
  <si>
    <t>ECL (Power BI)</t>
  </si>
  <si>
    <t>Variance</t>
  </si>
  <si>
    <t>% Variance</t>
  </si>
  <si>
    <t>ZAAUTO2024-1-00001</t>
  </si>
  <si>
    <t>ZAAUTO2024-1-00002</t>
  </si>
  <si>
    <t>ZAAUTO2024-1-00003</t>
  </si>
  <si>
    <t>ZAAUTO2024-1-00004</t>
  </si>
  <si>
    <t>ZAAUTO2024-1-00005</t>
  </si>
  <si>
    <t>ZAAUTO2024-1-00006</t>
  </si>
  <si>
    <t>ZAAUTO2024-1-00007</t>
  </si>
  <si>
    <t>ZAAUTO2024-1-00008</t>
  </si>
  <si>
    <t>ZAAUTO2024-1-00009</t>
  </si>
  <si>
    <t>ZAAUTO2024-1-00010</t>
  </si>
  <si>
    <t>ZAAUTO2024-1-00011</t>
  </si>
  <si>
    <t>ZAAUTO2024-1-00012</t>
  </si>
  <si>
    <t>ZAAUTO2024-1-00013</t>
  </si>
  <si>
    <t>ZAAUTO2024-1-00014</t>
  </si>
  <si>
    <t>ZAAUTO2024-1-00015</t>
  </si>
  <si>
    <t>ZAAUTO2024-1-00016</t>
  </si>
  <si>
    <t>ZAAUTO2024-1-00017</t>
  </si>
  <si>
    <t>ZAAUTO2024-1-00018</t>
  </si>
  <si>
    <t>ZAAUTO2024-1-00019</t>
  </si>
  <si>
    <t>ZAAUTO2024-1-00020</t>
  </si>
  <si>
    <t>ZAAUTO2024-1-00021</t>
  </si>
  <si>
    <t>ZAAUTO2024-1-00022</t>
  </si>
  <si>
    <t>ZAAUTO2024-1-00023</t>
  </si>
  <si>
    <t>ZAAUTO2024-1-00024</t>
  </si>
  <si>
    <t>ZAAUTO2024-1-00025</t>
  </si>
  <si>
    <t>ZAAUTO2024-1-00026</t>
  </si>
  <si>
    <t>ZAAUTO2024-1-00027</t>
  </si>
  <si>
    <t>ZAAUTO2024-1-00028</t>
  </si>
  <si>
    <t>ZAAUTO2024-1-00029</t>
  </si>
  <si>
    <t>ZAAUTO2024-1-00030</t>
  </si>
  <si>
    <t>TOTAL</t>
  </si>
  <si>
    <t>ECL SUMMARY BY STAGE</t>
  </si>
  <si>
    <t>Stage</t>
  </si>
  <si>
    <t>ECL (Excel)</t>
  </si>
  <si>
    <t>Stage 1</t>
  </si>
  <si>
    <t>Stage 2</t>
  </si>
  <si>
    <t>Stage 3</t>
  </si>
  <si>
    <t>CASH FLOW WATERFALL VALIDATION – Manual vs Power BI</t>
  </si>
  <si>
    <t>TRANCHE STRUCTURE ASSUMPTIONS</t>
  </si>
  <si>
    <t>Reporting Date</t>
  </si>
  <si>
    <t>2024-10-30</t>
  </si>
  <si>
    <t>Total Collections (INR)</t>
  </si>
  <si>
    <t>Senior Tranche Balance (INR)</t>
  </si>
  <si>
    <t>Senior Coupon Rate (Annual)</t>
  </si>
  <si>
    <t>Mezzanine Tranche Balance (INR)</t>
  </si>
  <si>
    <t>Mezzanine Coupon Rate (Annual)</t>
  </si>
  <si>
    <t>Servicer Fee Rate (Annual)</t>
  </si>
  <si>
    <t>Trustee Fee (INR/month)</t>
  </si>
  <si>
    <t>Net Loss This Month (INR)</t>
  </si>
  <si>
    <t>Step</t>
  </si>
  <si>
    <t>Waterfall Item</t>
  </si>
  <si>
    <t>Formula</t>
  </si>
  <si>
    <t>Manual Calc (INR)</t>
  </si>
  <si>
    <t>Power BI (INR)</t>
  </si>
  <si>
    <t>Status</t>
  </si>
  <si>
    <t>Total Collections (A)</t>
  </si>
  <si>
    <t>Less: Servicer Fee (B)</t>
  </si>
  <si>
    <t>Less: Trustee Fee (C)</t>
  </si>
  <si>
    <t>Available After Fees (D = A+B+C)</t>
  </si>
  <si>
    <t>Less: Senior Tranche Interest (E)</t>
  </si>
  <si>
    <t>Remaining After Senior Interest (F = D+E)</t>
  </si>
  <si>
    <t>Less: Senior Tranche Principal</t>
  </si>
  <si>
    <t>Available for Mezzanine (G)</t>
  </si>
  <si>
    <t>Less: Mezzanine Interest (H)</t>
  </si>
  <si>
    <t>Less: Net Losses Absorbed (I)</t>
  </si>
  <si>
    <t>Residual to Equity (J = G+H+I)</t>
  </si>
  <si>
    <t>TRIGGER / COVENANT STATUS</t>
  </si>
  <si>
    <t>Test</t>
  </si>
  <si>
    <t>Trigger Level</t>
  </si>
  <si>
    <t>Current Level</t>
  </si>
  <si>
    <t>Action if Breach</t>
  </si>
  <si>
    <t>&gt;=120%</t>
  </si>
  <si>
    <t>PASS</t>
  </si>
  <si>
    <t>Sequential pay</t>
  </si>
  <si>
    <t>OC Test (Mezzanine)</t>
  </si>
  <si>
    <t>&gt;=110%</t>
  </si>
  <si>
    <t>Divert to deleverage</t>
  </si>
  <si>
    <t>Delinquency Test</t>
  </si>
  <si>
    <t>&lt;=5.0%</t>
  </si>
  <si>
    <t>From Power BI</t>
  </si>
  <si>
    <t>Early amortisation</t>
  </si>
  <si>
    <t>Cumulative Loss Test</t>
  </si>
  <si>
    <t>&lt;=3.0%</t>
  </si>
  <si>
    <t>Accelerate paydown</t>
  </si>
  <si>
    <t>Excess Spread Test</t>
  </si>
  <si>
    <t>&gt;0%</t>
  </si>
  <si>
    <t>Trap excess spread</t>
  </si>
  <si>
    <t>VINTAGE / STATIC POOL ANALYSIS – Cumulative Net Loss Curves</t>
  </si>
  <si>
    <t>VintageID</t>
  </si>
  <si>
    <t>VintageStartDate</t>
  </si>
  <si>
    <t>OriginalLoanCount</t>
  </si>
  <si>
    <t>OriginalPoolBalance</t>
  </si>
  <si>
    <t>MonthsOnBook</t>
  </si>
  <si>
    <t>CumulativeDefaults_Count</t>
  </si>
  <si>
    <t>CumulativeDefaults_Balance</t>
  </si>
  <si>
    <t>CumulativeGrossLoss</t>
  </si>
  <si>
    <t>CumulativeRecoveries</t>
  </si>
  <si>
    <t>CumulativeNetLoss</t>
  </si>
  <si>
    <t>CumulativeNetLossRate</t>
  </si>
  <si>
    <t>CumulativePrepayments</t>
  </si>
  <si>
    <t>RemainingPoolBalance</t>
  </si>
  <si>
    <t>PoolFactor</t>
  </si>
  <si>
    <t>CurrentDelinq30Plus</t>
  </si>
  <si>
    <t>MarginalLossRate</t>
  </si>
  <si>
    <t>2021-Q1</t>
  </si>
  <si>
    <t>2021-01-01</t>
  </si>
  <si>
    <t>2021-Q2</t>
  </si>
  <si>
    <t>2021-04-01</t>
  </si>
  <si>
    <t>2021-Q3</t>
  </si>
  <si>
    <t>2021-07-01</t>
  </si>
  <si>
    <t>2021-Q4</t>
  </si>
  <si>
    <t>2021-10-01</t>
  </si>
  <si>
    <t>2022-Q1</t>
  </si>
  <si>
    <t>2022-01-01</t>
  </si>
  <si>
    <t>2022-Q2</t>
  </si>
  <si>
    <t>2022-04-01</t>
  </si>
  <si>
    <t>2022-Q3</t>
  </si>
  <si>
    <t>2022-07-01</t>
  </si>
  <si>
    <t>2022-Q4</t>
  </si>
  <si>
    <t>2022-10-01</t>
  </si>
  <si>
    <t>2023-Q1</t>
  </si>
  <si>
    <t>2023-01-01</t>
  </si>
  <si>
    <t>2023-Q2</t>
  </si>
  <si>
    <t>2023-04-01</t>
  </si>
  <si>
    <t>2023-Q3</t>
  </si>
  <si>
    <t>2023-07-01</t>
  </si>
  <si>
    <t>2023-Q4</t>
  </si>
  <si>
    <t>2023-10-01</t>
  </si>
  <si>
    <t>2024-Q1</t>
  </si>
  <si>
    <t>2024-01-01</t>
  </si>
  <si>
    <t>2024-Q2</t>
  </si>
  <si>
    <t>2024-04-01</t>
  </si>
  <si>
    <t>2024-Q3</t>
  </si>
  <si>
    <t>2024-07-01</t>
  </si>
  <si>
    <t>VINTAGE COMPARISON – CNL at Key Seasoning Points</t>
  </si>
  <si>
    <t>Orig Balance (INR)</t>
  </si>
  <si>
    <t>CNL @ 12M</t>
  </si>
  <si>
    <t>CNL @ 24M</t>
  </si>
  <si>
    <t>CNL @ 36M</t>
  </si>
  <si>
    <t>Latest CNL</t>
  </si>
  <si>
    <t>DYNAMIC LOSS ANALYSIS – Monthly Portfolio Performance</t>
  </si>
  <si>
    <t>ReportingDate</t>
  </si>
  <si>
    <t>BOP_LoanCount</t>
  </si>
  <si>
    <t>BOP_Balance</t>
  </si>
  <si>
    <t>NewDefaults_Count</t>
  </si>
  <si>
    <t>NewDefaults_Balance</t>
  </si>
  <si>
    <t>GrossLoss_ThisMonth</t>
  </si>
  <si>
    <t>Recoveries_ThisMonth</t>
  </si>
  <si>
    <t>NetLoss_ThisMonth</t>
  </si>
  <si>
    <t>Prepayments_ThisMonth</t>
  </si>
  <si>
    <t>ScheduledAmort</t>
  </si>
  <si>
    <t>EOP_Balance</t>
  </si>
  <si>
    <t>EOP_LoanCount</t>
  </si>
  <si>
    <t>CollectionsTotal</t>
  </si>
  <si>
    <t>BillingAmount</t>
  </si>
  <si>
    <t>CollectionEfficiency</t>
  </si>
  <si>
    <t>MonthlyDefaultRate</t>
  </si>
  <si>
    <t>MonthlyNetLossRate</t>
  </si>
  <si>
    <t>CPR_Annualised</t>
  </si>
  <si>
    <t>ExcessSpread_Monthly</t>
  </si>
  <si>
    <t>2023-12-30</t>
  </si>
  <si>
    <t>2024-01-30</t>
  </si>
  <si>
    <t>2024-02-28</t>
  </si>
  <si>
    <t>2024-03-30</t>
  </si>
  <si>
    <t>2024-04-30</t>
  </si>
  <si>
    <t>2024-05-30</t>
  </si>
  <si>
    <t>2024-06-30</t>
  </si>
  <si>
    <t>2024-07-30</t>
  </si>
  <si>
    <t>2024-08-30</t>
  </si>
  <si>
    <t>2024-09-30</t>
  </si>
  <si>
    <t>DERIVED METRICS (Excel Crosscheck)</t>
  </si>
  <si>
    <t>Metric</t>
  </si>
  <si>
    <t>Excel Result</t>
  </si>
  <si>
    <t>Power BI</t>
  </si>
  <si>
    <t>Total Net Loss (All Months)</t>
  </si>
  <si>
    <t>Average Monthly CDR</t>
  </si>
  <si>
    <t>Average CPR Annualised</t>
  </si>
  <si>
    <t>Total Prepayments</t>
  </si>
  <si>
    <t>Avg Collection Efficiency</t>
  </si>
  <si>
    <t>Total Excess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</si>
</sst>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9"/>
      <color rgb="FF0000FF"/>
      <name val="Arial"/>
    </font>
    <font>
      <sz val="9"/>
      <color rgb="FF008000"/>
      <name val="Arial"/>
    </font>
    <font>
      <b/>
      <sz val="10"/>
      <name val="Arial"/>
    </font>
    <font>
      <sz val="8"/>
      <color rgb="FF555555"/>
      <name val="Arial"/>
    </font>
    <font>
      <b/>
      <sz val="9"/>
      <color rgb="FF006400"/>
      <name val="Arial"/>
    </font>
    <font>
      <sz val="8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FFF9E6"/>
      </patternFill>
    </fill>
    <fill>
      <patternFill patternType="solid">
        <fgColor rgb="FFFDECEA"/>
      </patternFill>
    </fill>
    <fill>
      <patternFill patternType="solid">
        <fgColor rgb="FFEAF4EA"/>
      </patternFill>
    </fill>
    <fill>
      <patternFill patternType="solid">
        <fgColor rgb="FFFEF9E7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1F8E9"/>
      </patternFill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 wrapText="1"/>
    </xf>
    <xf numFmtId="0" fontId="4" fillId="0" borderId="0" xfId="0" applyFont="1"/>
    <xf numFmtId="10" fontId="5" fillId="0" borderId="0" xfId="0" applyNumberFormat="1" applyFont="1"/>
    <xf numFmtId="0" fontId="2" fillId="14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10" fontId="6" fillId="0" borderId="1" xfId="0" applyNumberFormat="1" applyFont="1" applyBorder="1"/>
    <xf numFmtId="4" fontId="5" fillId="0" borderId="1" xfId="0" applyNumberFormat="1" applyFont="1" applyBorder="1"/>
    <xf numFmtId="164" fontId="3" fillId="0" borderId="1" xfId="0" applyNumberFormat="1" applyFont="1" applyBorder="1"/>
    <xf numFmtId="0" fontId="7" fillId="0" borderId="1" xfId="0" applyFont="1" applyBorder="1"/>
    <xf numFmtId="0" fontId="0" fillId="0" borderId="1" xfId="0" applyBorder="1"/>
    <xf numFmtId="4" fontId="7" fillId="15" borderId="1" xfId="0" applyNumberFormat="1" applyFont="1" applyFill="1" applyBorder="1"/>
    <xf numFmtId="0" fontId="4" fillId="0" borderId="1" xfId="0" applyFont="1" applyBorder="1"/>
    <xf numFmtId="4" fontId="3" fillId="0" borderId="0" xfId="0" applyNumberFormat="1" applyFont="1"/>
    <xf numFmtId="4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8" fillId="0" borderId="1" xfId="0" applyFont="1" applyBorder="1"/>
    <xf numFmtId="0" fontId="5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3" fontId="10" fillId="0" borderId="1" xfId="0" applyNumberFormat="1" applyFont="1" applyBorder="1"/>
    <xf numFmtId="165" fontId="10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165" fontId="5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sqref="A1:F1"/>
    </sheetView>
  </sheetViews>
  <sheetFormatPr defaultRowHeight="14.4" x14ac:dyDescent="0.3"/>
  <cols>
    <col min="1" max="1" width="5" customWidth="1"/>
    <col min="2" max="2" width="30" customWidth="1"/>
    <col min="3" max="3" width="60" customWidth="1"/>
    <col min="4" max="4" width="45" customWidth="1"/>
    <col min="5" max="6" width="22" customWidth="1"/>
  </cols>
  <sheetData>
    <row r="1" spans="1:6" ht="28.05" customHeight="1" x14ac:dyDescent="0.3">
      <c r="A1" s="50" t="s">
        <v>0</v>
      </c>
      <c r="B1" s="51"/>
      <c r="C1" s="51"/>
      <c r="D1" s="51"/>
      <c r="E1" s="51"/>
      <c r="F1" s="51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0.049999999999997" customHeight="1" x14ac:dyDescent="0.3">
      <c r="A3" s="2">
        <v>1</v>
      </c>
      <c r="B3" s="2" t="s">
        <v>7</v>
      </c>
      <c r="C3" s="3" t="s">
        <v>8</v>
      </c>
      <c r="D3" s="2" t="s">
        <v>9</v>
      </c>
      <c r="E3" s="2" t="s">
        <v>10</v>
      </c>
      <c r="F3" s="2" t="s">
        <v>11</v>
      </c>
    </row>
    <row r="4" spans="1:6" ht="40.049999999999997" customHeight="1" x14ac:dyDescent="0.3">
      <c r="A4" s="2">
        <v>2</v>
      </c>
      <c r="B4" s="2" t="s">
        <v>12</v>
      </c>
      <c r="C4" s="3" t="s">
        <v>13</v>
      </c>
      <c r="D4" s="2" t="s">
        <v>14</v>
      </c>
      <c r="E4" s="2" t="s">
        <v>10</v>
      </c>
      <c r="F4" s="2" t="s">
        <v>11</v>
      </c>
    </row>
    <row r="5" spans="1:6" ht="40.049999999999997" customHeight="1" x14ac:dyDescent="0.3">
      <c r="A5" s="2">
        <v>3</v>
      </c>
      <c r="B5" s="2" t="s">
        <v>15</v>
      </c>
      <c r="C5" s="3" t="s">
        <v>16</v>
      </c>
      <c r="D5" s="2" t="s">
        <v>17</v>
      </c>
      <c r="E5" s="2" t="s">
        <v>10</v>
      </c>
      <c r="F5" s="2" t="s">
        <v>11</v>
      </c>
    </row>
    <row r="6" spans="1:6" ht="40.049999999999997" customHeight="1" x14ac:dyDescent="0.3">
      <c r="A6" s="2">
        <v>4</v>
      </c>
      <c r="B6" s="2" t="s">
        <v>18</v>
      </c>
      <c r="C6" s="3" t="s">
        <v>19</v>
      </c>
      <c r="D6" s="2" t="s">
        <v>20</v>
      </c>
      <c r="E6" s="2" t="s">
        <v>10</v>
      </c>
      <c r="F6" s="2" t="s">
        <v>11</v>
      </c>
    </row>
    <row r="7" spans="1:6" ht="40.049999999999997" customHeight="1" x14ac:dyDescent="0.3">
      <c r="A7" s="2">
        <v>5</v>
      </c>
      <c r="B7" s="2" t="s">
        <v>21</v>
      </c>
      <c r="C7" s="3" t="s">
        <v>22</v>
      </c>
      <c r="D7" s="2" t="s">
        <v>23</v>
      </c>
      <c r="E7" s="2" t="s">
        <v>10</v>
      </c>
      <c r="F7" s="2" t="s">
        <v>11</v>
      </c>
    </row>
    <row r="8" spans="1:6" ht="40.049999999999997" customHeight="1" x14ac:dyDescent="0.3">
      <c r="A8" s="4">
        <v>6</v>
      </c>
      <c r="B8" s="4" t="s">
        <v>24</v>
      </c>
      <c r="C8" s="5" t="s">
        <v>25</v>
      </c>
      <c r="D8" s="4" t="s">
        <v>26</v>
      </c>
      <c r="E8" s="4" t="s">
        <v>27</v>
      </c>
      <c r="F8" s="4" t="s">
        <v>28</v>
      </c>
    </row>
    <row r="9" spans="1:6" ht="40.049999999999997" customHeight="1" x14ac:dyDescent="0.3">
      <c r="A9" s="4">
        <v>7</v>
      </c>
      <c r="B9" s="4" t="s">
        <v>29</v>
      </c>
      <c r="C9" s="5" t="s">
        <v>30</v>
      </c>
      <c r="D9" s="4" t="s">
        <v>31</v>
      </c>
      <c r="E9" s="4" t="s">
        <v>27</v>
      </c>
      <c r="F9" s="4" t="s">
        <v>28</v>
      </c>
    </row>
    <row r="10" spans="1:6" ht="40.049999999999997" customHeight="1" x14ac:dyDescent="0.3">
      <c r="A10" s="4">
        <v>8</v>
      </c>
      <c r="B10" s="4" t="s">
        <v>32</v>
      </c>
      <c r="C10" s="5" t="s">
        <v>33</v>
      </c>
      <c r="D10" s="4" t="s">
        <v>34</v>
      </c>
      <c r="E10" s="4" t="s">
        <v>27</v>
      </c>
      <c r="F10" s="4" t="s">
        <v>28</v>
      </c>
    </row>
    <row r="11" spans="1:6" ht="40.049999999999997" customHeight="1" x14ac:dyDescent="0.3">
      <c r="A11" s="4">
        <v>9</v>
      </c>
      <c r="B11" s="4" t="s">
        <v>35</v>
      </c>
      <c r="C11" s="5" t="s">
        <v>36</v>
      </c>
      <c r="D11" s="4" t="s">
        <v>37</v>
      </c>
      <c r="E11" s="4" t="s">
        <v>27</v>
      </c>
      <c r="F11" s="4" t="s">
        <v>28</v>
      </c>
    </row>
    <row r="12" spans="1:6" ht="40.049999999999997" customHeight="1" x14ac:dyDescent="0.3">
      <c r="A12" s="4">
        <v>10</v>
      </c>
      <c r="B12" s="4" t="s">
        <v>38</v>
      </c>
      <c r="C12" s="5" t="s">
        <v>39</v>
      </c>
      <c r="D12" s="4" t="s">
        <v>40</v>
      </c>
      <c r="E12" s="4" t="s">
        <v>27</v>
      </c>
      <c r="F12" s="4" t="s">
        <v>28</v>
      </c>
    </row>
    <row r="13" spans="1:6" ht="40.049999999999997" customHeight="1" x14ac:dyDescent="0.3">
      <c r="A13" s="4">
        <v>11</v>
      </c>
      <c r="B13" s="4" t="s">
        <v>41</v>
      </c>
      <c r="C13" s="5" t="s">
        <v>42</v>
      </c>
      <c r="D13" s="4" t="s">
        <v>43</v>
      </c>
      <c r="E13" s="4" t="s">
        <v>27</v>
      </c>
      <c r="F13" s="4" t="s">
        <v>28</v>
      </c>
    </row>
    <row r="14" spans="1:6" ht="40.049999999999997" customHeight="1" x14ac:dyDescent="0.3">
      <c r="A14" s="6">
        <v>12</v>
      </c>
      <c r="B14" s="6" t="s">
        <v>44</v>
      </c>
      <c r="C14" s="7" t="s">
        <v>45</v>
      </c>
      <c r="D14" s="6" t="s">
        <v>46</v>
      </c>
      <c r="E14" s="6" t="s">
        <v>10</v>
      </c>
      <c r="F14" s="6" t="s">
        <v>47</v>
      </c>
    </row>
    <row r="15" spans="1:6" ht="40.049999999999997" customHeight="1" x14ac:dyDescent="0.3">
      <c r="A15" s="6">
        <v>13</v>
      </c>
      <c r="B15" s="6" t="s">
        <v>48</v>
      </c>
      <c r="C15" s="7" t="s">
        <v>49</v>
      </c>
      <c r="D15" s="6" t="s">
        <v>50</v>
      </c>
      <c r="E15" s="6" t="s">
        <v>10</v>
      </c>
      <c r="F15" s="6" t="s">
        <v>47</v>
      </c>
    </row>
    <row r="16" spans="1:6" ht="40.049999999999997" customHeight="1" x14ac:dyDescent="0.3">
      <c r="A16" s="6">
        <v>14</v>
      </c>
      <c r="B16" s="6" t="s">
        <v>51</v>
      </c>
      <c r="C16" s="7" t="s">
        <v>52</v>
      </c>
      <c r="D16" s="6" t="s">
        <v>53</v>
      </c>
      <c r="E16" s="6" t="s">
        <v>10</v>
      </c>
      <c r="F16" s="6" t="s">
        <v>47</v>
      </c>
    </row>
    <row r="17" spans="1:6" ht="40.049999999999997" customHeight="1" x14ac:dyDescent="0.3">
      <c r="A17" s="6">
        <v>15</v>
      </c>
      <c r="B17" s="6" t="s">
        <v>54</v>
      </c>
      <c r="C17" s="7" t="s">
        <v>55</v>
      </c>
      <c r="D17" s="6" t="s">
        <v>56</v>
      </c>
      <c r="E17" s="6" t="s">
        <v>10</v>
      </c>
      <c r="F17" s="6" t="s">
        <v>47</v>
      </c>
    </row>
    <row r="18" spans="1:6" ht="40.049999999999997" customHeight="1" x14ac:dyDescent="0.3">
      <c r="A18" s="6">
        <v>16</v>
      </c>
      <c r="B18" s="6" t="s">
        <v>57</v>
      </c>
      <c r="C18" s="7" t="s">
        <v>58</v>
      </c>
      <c r="D18" s="6" t="s">
        <v>59</v>
      </c>
      <c r="E18" s="6" t="s">
        <v>10</v>
      </c>
      <c r="F18" s="6" t="s">
        <v>47</v>
      </c>
    </row>
    <row r="19" spans="1:6" ht="40.049999999999997" customHeight="1" x14ac:dyDescent="0.3">
      <c r="A19" s="6">
        <v>17</v>
      </c>
      <c r="B19" s="6" t="s">
        <v>60</v>
      </c>
      <c r="C19" s="7" t="s">
        <v>61</v>
      </c>
      <c r="D19" s="6" t="s">
        <v>62</v>
      </c>
      <c r="E19" s="6" t="s">
        <v>10</v>
      </c>
      <c r="F19" s="6" t="s">
        <v>47</v>
      </c>
    </row>
    <row r="20" spans="1:6" ht="40.049999999999997" customHeight="1" x14ac:dyDescent="0.3">
      <c r="A20" s="6">
        <v>18</v>
      </c>
      <c r="B20" s="6" t="s">
        <v>63</v>
      </c>
      <c r="C20" s="7" t="s">
        <v>64</v>
      </c>
      <c r="D20" s="6" t="s">
        <v>65</v>
      </c>
      <c r="E20" s="6" t="s">
        <v>10</v>
      </c>
      <c r="F20" s="6" t="s">
        <v>47</v>
      </c>
    </row>
    <row r="21" spans="1:6" ht="40.049999999999997" customHeight="1" x14ac:dyDescent="0.3">
      <c r="A21" s="6">
        <v>19</v>
      </c>
      <c r="B21" s="6" t="s">
        <v>66</v>
      </c>
      <c r="C21" s="7" t="s">
        <v>67</v>
      </c>
      <c r="D21" s="6" t="s">
        <v>68</v>
      </c>
      <c r="E21" s="6" t="s">
        <v>10</v>
      </c>
      <c r="F21" s="6" t="s">
        <v>47</v>
      </c>
    </row>
    <row r="22" spans="1:6" ht="40.049999999999997" customHeight="1" x14ac:dyDescent="0.3">
      <c r="A22" s="6">
        <v>20</v>
      </c>
      <c r="B22" s="6" t="s">
        <v>69</v>
      </c>
      <c r="C22" s="7" t="s">
        <v>70</v>
      </c>
      <c r="D22" s="6" t="s">
        <v>71</v>
      </c>
      <c r="E22" s="6" t="s">
        <v>10</v>
      </c>
      <c r="F22" s="6" t="s">
        <v>47</v>
      </c>
    </row>
    <row r="23" spans="1:6" ht="40.049999999999997" customHeight="1" x14ac:dyDescent="0.3">
      <c r="A23" s="8">
        <v>21</v>
      </c>
      <c r="B23" s="8" t="s">
        <v>72</v>
      </c>
      <c r="C23" s="9" t="s">
        <v>73</v>
      </c>
      <c r="D23" s="8" t="s">
        <v>74</v>
      </c>
      <c r="E23" s="8" t="s">
        <v>27</v>
      </c>
      <c r="F23" s="8" t="s">
        <v>75</v>
      </c>
    </row>
    <row r="24" spans="1:6" ht="40.049999999999997" customHeight="1" x14ac:dyDescent="0.3">
      <c r="A24" s="8">
        <v>22</v>
      </c>
      <c r="B24" s="8" t="s">
        <v>76</v>
      </c>
      <c r="C24" s="9" t="s">
        <v>77</v>
      </c>
      <c r="D24" s="8" t="s">
        <v>78</v>
      </c>
      <c r="E24" s="8" t="s">
        <v>27</v>
      </c>
      <c r="F24" s="8" t="s">
        <v>75</v>
      </c>
    </row>
    <row r="25" spans="1:6" ht="40.049999999999997" customHeight="1" x14ac:dyDescent="0.3">
      <c r="A25" s="8">
        <v>23</v>
      </c>
      <c r="B25" s="8" t="s">
        <v>79</v>
      </c>
      <c r="C25" s="9" t="s">
        <v>80</v>
      </c>
      <c r="D25" s="8" t="s">
        <v>81</v>
      </c>
      <c r="E25" s="8" t="s">
        <v>27</v>
      </c>
      <c r="F25" s="8" t="s">
        <v>75</v>
      </c>
    </row>
    <row r="26" spans="1:6" ht="40.049999999999997" customHeight="1" x14ac:dyDescent="0.3">
      <c r="A26" s="8">
        <v>24</v>
      </c>
      <c r="B26" s="8" t="s">
        <v>82</v>
      </c>
      <c r="C26" s="9" t="s">
        <v>83</v>
      </c>
      <c r="D26" s="8" t="s">
        <v>84</v>
      </c>
      <c r="E26" s="8" t="s">
        <v>27</v>
      </c>
      <c r="F26" s="8" t="s">
        <v>75</v>
      </c>
    </row>
    <row r="27" spans="1:6" ht="40.049999999999997" customHeight="1" x14ac:dyDescent="0.3">
      <c r="A27" s="8">
        <v>25</v>
      </c>
      <c r="B27" s="8" t="s">
        <v>85</v>
      </c>
      <c r="C27" s="9" t="s">
        <v>86</v>
      </c>
      <c r="D27" s="8" t="s">
        <v>87</v>
      </c>
      <c r="E27" s="8" t="s">
        <v>27</v>
      </c>
      <c r="F27" s="8" t="s">
        <v>75</v>
      </c>
    </row>
    <row r="28" spans="1:6" ht="40.049999999999997" customHeight="1" x14ac:dyDescent="0.3">
      <c r="A28" s="8">
        <v>26</v>
      </c>
      <c r="B28" s="8" t="s">
        <v>88</v>
      </c>
      <c r="C28" s="9" t="s">
        <v>89</v>
      </c>
      <c r="D28" s="8" t="s">
        <v>90</v>
      </c>
      <c r="E28" s="8" t="s">
        <v>27</v>
      </c>
      <c r="F28" s="8" t="s">
        <v>75</v>
      </c>
    </row>
    <row r="29" spans="1:6" ht="40.049999999999997" customHeight="1" x14ac:dyDescent="0.3">
      <c r="A29" s="10">
        <v>27</v>
      </c>
      <c r="B29" s="10" t="s">
        <v>91</v>
      </c>
      <c r="C29" s="11" t="s">
        <v>92</v>
      </c>
      <c r="D29" s="10" t="s">
        <v>93</v>
      </c>
      <c r="E29" s="10" t="s">
        <v>10</v>
      </c>
      <c r="F29" s="10" t="s">
        <v>94</v>
      </c>
    </row>
    <row r="30" spans="1:6" ht="40.049999999999997" customHeight="1" x14ac:dyDescent="0.3">
      <c r="A30" s="10">
        <v>28</v>
      </c>
      <c r="B30" s="10" t="s">
        <v>95</v>
      </c>
      <c r="C30" s="11" t="s">
        <v>96</v>
      </c>
      <c r="D30" s="10" t="s">
        <v>97</v>
      </c>
      <c r="E30" s="10" t="s">
        <v>98</v>
      </c>
      <c r="F30" s="10" t="s">
        <v>94</v>
      </c>
    </row>
    <row r="31" spans="1:6" ht="40.049999999999997" customHeight="1" x14ac:dyDescent="0.3">
      <c r="A31" s="10">
        <v>29</v>
      </c>
      <c r="B31" s="10" t="s">
        <v>99</v>
      </c>
      <c r="C31" s="11" t="s">
        <v>100</v>
      </c>
      <c r="D31" s="10" t="s">
        <v>101</v>
      </c>
      <c r="E31" s="10" t="s">
        <v>98</v>
      </c>
      <c r="F31" s="10" t="s">
        <v>94</v>
      </c>
    </row>
    <row r="32" spans="1:6" ht="40.049999999999997" customHeight="1" x14ac:dyDescent="0.3">
      <c r="A32" s="10">
        <v>30</v>
      </c>
      <c r="B32" s="10" t="s">
        <v>102</v>
      </c>
      <c r="C32" s="11" t="s">
        <v>103</v>
      </c>
      <c r="D32" s="10" t="s">
        <v>104</v>
      </c>
      <c r="E32" s="10" t="s">
        <v>98</v>
      </c>
      <c r="F32" s="10" t="s">
        <v>94</v>
      </c>
    </row>
    <row r="33" spans="1:6" ht="40.049999999999997" customHeight="1" x14ac:dyDescent="0.3">
      <c r="A33" s="10">
        <v>31</v>
      </c>
      <c r="B33" s="10" t="s">
        <v>105</v>
      </c>
      <c r="C33" s="11" t="s">
        <v>106</v>
      </c>
      <c r="D33" s="10" t="s">
        <v>107</v>
      </c>
      <c r="E33" s="10" t="s">
        <v>98</v>
      </c>
      <c r="F33" s="10" t="s">
        <v>94</v>
      </c>
    </row>
    <row r="34" spans="1:6" ht="40.049999999999997" customHeight="1" x14ac:dyDescent="0.3">
      <c r="A34" s="12">
        <v>32</v>
      </c>
      <c r="B34" s="12" t="s">
        <v>108</v>
      </c>
      <c r="C34" s="13" t="s">
        <v>109</v>
      </c>
      <c r="D34" s="12" t="s">
        <v>110</v>
      </c>
      <c r="E34" s="12" t="s">
        <v>98</v>
      </c>
      <c r="F34" s="12" t="s">
        <v>111</v>
      </c>
    </row>
    <row r="35" spans="1:6" ht="40.049999999999997" customHeight="1" x14ac:dyDescent="0.3">
      <c r="A35" s="12">
        <v>33</v>
      </c>
      <c r="B35" s="12" t="s">
        <v>112</v>
      </c>
      <c r="C35" s="13" t="s">
        <v>113</v>
      </c>
      <c r="D35" s="12" t="s">
        <v>114</v>
      </c>
      <c r="E35" s="12" t="s">
        <v>98</v>
      </c>
      <c r="F35" s="12" t="s">
        <v>111</v>
      </c>
    </row>
    <row r="36" spans="1:6" ht="40.049999999999997" customHeight="1" x14ac:dyDescent="0.3">
      <c r="A36" s="12">
        <v>34</v>
      </c>
      <c r="B36" s="12" t="s">
        <v>115</v>
      </c>
      <c r="C36" s="13" t="s">
        <v>116</v>
      </c>
      <c r="D36" s="12" t="s">
        <v>117</v>
      </c>
      <c r="E36" s="12" t="s">
        <v>98</v>
      </c>
      <c r="F36" s="12" t="s">
        <v>111</v>
      </c>
    </row>
    <row r="37" spans="1:6" ht="40.049999999999997" customHeight="1" x14ac:dyDescent="0.3">
      <c r="A37" s="14">
        <v>35</v>
      </c>
      <c r="B37" s="14" t="s">
        <v>118</v>
      </c>
      <c r="C37" s="15" t="s">
        <v>119</v>
      </c>
      <c r="D37" s="14" t="s">
        <v>120</v>
      </c>
      <c r="E37" s="14" t="s">
        <v>121</v>
      </c>
      <c r="F37" s="14" t="s">
        <v>122</v>
      </c>
    </row>
    <row r="38" spans="1:6" ht="40.049999999999997" customHeight="1" x14ac:dyDescent="0.3">
      <c r="A38" s="14">
        <v>36</v>
      </c>
      <c r="B38" s="14" t="s">
        <v>123</v>
      </c>
      <c r="C38" s="15" t="s">
        <v>124</v>
      </c>
      <c r="D38" s="14" t="s">
        <v>125</v>
      </c>
      <c r="E38" s="14" t="s">
        <v>121</v>
      </c>
      <c r="F38" s="14" t="s">
        <v>122</v>
      </c>
    </row>
    <row r="39" spans="1:6" ht="40.049999999999997" customHeight="1" x14ac:dyDescent="0.3">
      <c r="A39" s="14">
        <v>37</v>
      </c>
      <c r="B39" s="14" t="s">
        <v>126</v>
      </c>
      <c r="C39" s="15" t="s">
        <v>127</v>
      </c>
      <c r="D39" s="14" t="s">
        <v>128</v>
      </c>
      <c r="E39" s="14" t="s">
        <v>121</v>
      </c>
      <c r="F39" s="14" t="s">
        <v>122</v>
      </c>
    </row>
    <row r="40" spans="1:6" ht="40.049999999999997" customHeight="1" x14ac:dyDescent="0.3">
      <c r="A40" s="14">
        <v>38</v>
      </c>
      <c r="B40" s="14" t="s">
        <v>129</v>
      </c>
      <c r="C40" s="15" t="s">
        <v>130</v>
      </c>
      <c r="D40" s="14" t="s">
        <v>131</v>
      </c>
      <c r="E40" s="14" t="s">
        <v>121</v>
      </c>
      <c r="F40" s="14" t="s">
        <v>122</v>
      </c>
    </row>
    <row r="41" spans="1:6" ht="40.049999999999997" customHeight="1" x14ac:dyDescent="0.3">
      <c r="A41" s="16">
        <v>39</v>
      </c>
      <c r="B41" s="16" t="s">
        <v>132</v>
      </c>
      <c r="C41" s="17" t="s">
        <v>133</v>
      </c>
      <c r="D41" s="16" t="s">
        <v>134</v>
      </c>
      <c r="E41" s="16" t="s">
        <v>135</v>
      </c>
      <c r="F41" s="16" t="s">
        <v>136</v>
      </c>
    </row>
    <row r="42" spans="1:6" ht="40.049999999999997" customHeight="1" x14ac:dyDescent="0.3">
      <c r="A42" s="16">
        <v>40</v>
      </c>
      <c r="B42" s="16" t="s">
        <v>137</v>
      </c>
      <c r="C42" s="17" t="s">
        <v>138</v>
      </c>
      <c r="D42" s="16" t="s">
        <v>139</v>
      </c>
      <c r="E42" s="16" t="s">
        <v>135</v>
      </c>
      <c r="F42" s="16" t="s">
        <v>136</v>
      </c>
    </row>
    <row r="43" spans="1:6" ht="40.049999999999997" customHeight="1" x14ac:dyDescent="0.3">
      <c r="A43" s="16">
        <v>41</v>
      </c>
      <c r="B43" s="16" t="s">
        <v>140</v>
      </c>
      <c r="C43" s="17" t="s">
        <v>141</v>
      </c>
      <c r="D43" s="16" t="s">
        <v>142</v>
      </c>
      <c r="E43" s="16" t="s">
        <v>135</v>
      </c>
      <c r="F43" s="16" t="s">
        <v>136</v>
      </c>
    </row>
    <row r="44" spans="1:6" ht="40.049999999999997" customHeight="1" x14ac:dyDescent="0.3">
      <c r="A44" s="16">
        <v>42</v>
      </c>
      <c r="B44" s="16" t="s">
        <v>143</v>
      </c>
      <c r="C44" s="17" t="s">
        <v>144</v>
      </c>
      <c r="D44" s="16" t="s">
        <v>145</v>
      </c>
      <c r="E44" s="16" t="s">
        <v>135</v>
      </c>
      <c r="F44" s="16" t="s">
        <v>136</v>
      </c>
    </row>
    <row r="45" spans="1:6" ht="40.049999999999997" customHeight="1" x14ac:dyDescent="0.3">
      <c r="A45" s="16">
        <v>43</v>
      </c>
      <c r="B45" s="16" t="s">
        <v>146</v>
      </c>
      <c r="C45" s="17" t="s">
        <v>147</v>
      </c>
      <c r="D45" s="16" t="s">
        <v>148</v>
      </c>
      <c r="E45" s="16" t="s">
        <v>10</v>
      </c>
      <c r="F45" s="16" t="s">
        <v>136</v>
      </c>
    </row>
    <row r="46" spans="1:6" ht="40.049999999999997" customHeight="1" x14ac:dyDescent="0.3">
      <c r="A46" s="16">
        <v>44</v>
      </c>
      <c r="B46" s="16" t="s">
        <v>149</v>
      </c>
      <c r="C46" s="17" t="s">
        <v>150</v>
      </c>
      <c r="D46" s="16" t="s">
        <v>151</v>
      </c>
      <c r="E46" s="16" t="s">
        <v>10</v>
      </c>
      <c r="F46" s="16" t="s">
        <v>136</v>
      </c>
    </row>
    <row r="47" spans="1:6" ht="40.049999999999997" customHeight="1" x14ac:dyDescent="0.3">
      <c r="A47" s="18">
        <v>45</v>
      </c>
      <c r="B47" s="18" t="s">
        <v>152</v>
      </c>
      <c r="C47" s="19" t="s">
        <v>153</v>
      </c>
      <c r="D47" s="18" t="s">
        <v>154</v>
      </c>
      <c r="E47" s="18" t="s">
        <v>27</v>
      </c>
      <c r="F47" s="18" t="s">
        <v>155</v>
      </c>
    </row>
    <row r="48" spans="1:6" ht="40.049999999999997" customHeight="1" x14ac:dyDescent="0.3">
      <c r="A48" s="18">
        <v>46</v>
      </c>
      <c r="B48" s="18" t="s">
        <v>156</v>
      </c>
      <c r="C48" s="19" t="s">
        <v>157</v>
      </c>
      <c r="D48" s="18" t="s">
        <v>158</v>
      </c>
      <c r="E48" s="18" t="s">
        <v>27</v>
      </c>
      <c r="F48" s="18" t="s">
        <v>155</v>
      </c>
    </row>
    <row r="49" spans="1:6" ht="40.049999999999997" customHeight="1" x14ac:dyDescent="0.3">
      <c r="A49" s="18">
        <v>47</v>
      </c>
      <c r="B49" s="18" t="s">
        <v>159</v>
      </c>
      <c r="C49" s="19" t="s">
        <v>160</v>
      </c>
      <c r="D49" s="18" t="s">
        <v>161</v>
      </c>
      <c r="E49" s="18" t="s">
        <v>27</v>
      </c>
      <c r="F49" s="18" t="s">
        <v>155</v>
      </c>
    </row>
    <row r="50" spans="1:6" ht="40.049999999999997" customHeight="1" x14ac:dyDescent="0.3">
      <c r="A50" s="20">
        <v>48</v>
      </c>
      <c r="B50" s="20" t="s">
        <v>162</v>
      </c>
      <c r="C50" s="21" t="s">
        <v>163</v>
      </c>
      <c r="D50" s="20" t="s">
        <v>164</v>
      </c>
      <c r="E50" s="20" t="s">
        <v>10</v>
      </c>
      <c r="F50" s="20" t="s">
        <v>165</v>
      </c>
    </row>
    <row r="51" spans="1:6" ht="40.049999999999997" customHeight="1" x14ac:dyDescent="0.3">
      <c r="A51" s="20">
        <v>49</v>
      </c>
      <c r="B51" s="20" t="s">
        <v>166</v>
      </c>
      <c r="C51" s="21" t="s">
        <v>167</v>
      </c>
      <c r="D51" s="20" t="s">
        <v>168</v>
      </c>
      <c r="E51" s="20" t="s">
        <v>98</v>
      </c>
      <c r="F51" s="20" t="s">
        <v>165</v>
      </c>
    </row>
    <row r="52" spans="1:6" ht="40.049999999999997" customHeight="1" x14ac:dyDescent="0.3">
      <c r="A52" s="20">
        <v>50</v>
      </c>
      <c r="B52" s="20" t="s">
        <v>169</v>
      </c>
      <c r="C52" s="21" t="s">
        <v>170</v>
      </c>
      <c r="D52" s="20" t="s">
        <v>171</v>
      </c>
      <c r="E52" s="20" t="s">
        <v>10</v>
      </c>
      <c r="F52" s="20" t="s">
        <v>165</v>
      </c>
    </row>
    <row r="53" spans="1:6" ht="40.049999999999997" customHeight="1" x14ac:dyDescent="0.3">
      <c r="A53" s="20">
        <v>51</v>
      </c>
      <c r="B53" s="20" t="s">
        <v>172</v>
      </c>
      <c r="C53" s="21" t="s">
        <v>173</v>
      </c>
      <c r="D53" s="20" t="s">
        <v>174</v>
      </c>
      <c r="E53" s="20" t="s">
        <v>10</v>
      </c>
      <c r="F53" s="20" t="s">
        <v>165</v>
      </c>
    </row>
    <row r="54" spans="1:6" ht="40.049999999999997" customHeight="1" x14ac:dyDescent="0.3">
      <c r="A54" s="22">
        <v>52</v>
      </c>
      <c r="B54" s="22" t="s">
        <v>175</v>
      </c>
      <c r="C54" s="23" t="s">
        <v>176</v>
      </c>
      <c r="D54" s="22" t="s">
        <v>177</v>
      </c>
      <c r="E54" s="22" t="s">
        <v>27</v>
      </c>
      <c r="F54" s="22" t="s">
        <v>178</v>
      </c>
    </row>
    <row r="55" spans="1:6" ht="40.049999999999997" customHeight="1" x14ac:dyDescent="0.3">
      <c r="A55" s="22">
        <v>53</v>
      </c>
      <c r="B55" s="22" t="s">
        <v>179</v>
      </c>
      <c r="C55" s="23" t="s">
        <v>180</v>
      </c>
      <c r="D55" s="22" t="s">
        <v>181</v>
      </c>
      <c r="E55" s="22" t="s">
        <v>27</v>
      </c>
      <c r="F55" s="22" t="s">
        <v>178</v>
      </c>
    </row>
    <row r="56" spans="1:6" ht="40.049999999999997" customHeight="1" x14ac:dyDescent="0.3">
      <c r="A56" s="22">
        <v>54</v>
      </c>
      <c r="B56" s="22" t="s">
        <v>182</v>
      </c>
      <c r="C56" s="23" t="s">
        <v>183</v>
      </c>
      <c r="D56" s="22" t="s">
        <v>184</v>
      </c>
      <c r="E56" s="22" t="s">
        <v>27</v>
      </c>
      <c r="F56" s="22" t="s">
        <v>178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22" customWidth="1"/>
    <col min="4" max="5" width="10" customWidth="1"/>
    <col min="6" max="6" width="22" customWidth="1"/>
    <col min="7" max="8" width="20" customWidth="1"/>
    <col min="9" max="9" width="16" customWidth="1"/>
    <col min="10" max="10" width="12" customWidth="1"/>
  </cols>
  <sheetData>
    <row r="1" spans="1:10" ht="28.05" customHeight="1" x14ac:dyDescent="0.3">
      <c r="A1" s="50" t="s">
        <v>185</v>
      </c>
      <c r="B1" s="51"/>
      <c r="C1" s="51"/>
      <c r="D1" s="51"/>
      <c r="E1" s="51"/>
      <c r="F1" s="51"/>
      <c r="G1" s="51"/>
      <c r="H1" s="51"/>
      <c r="I1" s="51"/>
      <c r="J1" s="51"/>
    </row>
    <row r="3" spans="1:10" x14ac:dyDescent="0.3">
      <c r="A3" s="54" t="s">
        <v>186</v>
      </c>
      <c r="B3" s="51"/>
    </row>
    <row r="4" spans="1:10" x14ac:dyDescent="0.3">
      <c r="A4" s="24" t="s">
        <v>187</v>
      </c>
      <c r="B4" s="25">
        <v>2.24E-2</v>
      </c>
    </row>
    <row r="5" spans="1:10" x14ac:dyDescent="0.3">
      <c r="A5" s="24" t="s">
        <v>188</v>
      </c>
      <c r="B5" s="25">
        <v>0.15</v>
      </c>
    </row>
    <row r="6" spans="1:10" x14ac:dyDescent="0.3">
      <c r="A6" s="24" t="s">
        <v>189</v>
      </c>
      <c r="B6" s="25">
        <v>1</v>
      </c>
    </row>
    <row r="7" spans="1:10" x14ac:dyDescent="0.3">
      <c r="A7" s="24" t="s">
        <v>190</v>
      </c>
      <c r="B7" s="25">
        <v>0.45</v>
      </c>
    </row>
    <row r="8" spans="1:10" x14ac:dyDescent="0.3">
      <c r="A8" s="24" t="s">
        <v>191</v>
      </c>
      <c r="B8" s="25">
        <v>0.5</v>
      </c>
    </row>
    <row r="9" spans="1:10" x14ac:dyDescent="0.3">
      <c r="A9" s="24" t="s">
        <v>192</v>
      </c>
      <c r="B9" s="25">
        <v>0.6</v>
      </c>
    </row>
    <row r="11" spans="1:10" x14ac:dyDescent="0.3">
      <c r="A11" s="26" t="s">
        <v>193</v>
      </c>
      <c r="B11" s="26" t="s">
        <v>194</v>
      </c>
      <c r="C11" s="26" t="s">
        <v>195</v>
      </c>
      <c r="D11" s="26" t="s">
        <v>196</v>
      </c>
      <c r="E11" s="26" t="s">
        <v>197</v>
      </c>
      <c r="F11" s="26" t="s">
        <v>198</v>
      </c>
      <c r="G11" s="26" t="s">
        <v>199</v>
      </c>
      <c r="H11" s="26" t="s">
        <v>200</v>
      </c>
      <c r="I11" s="26" t="s">
        <v>201</v>
      </c>
      <c r="J11" s="26" t="s">
        <v>202</v>
      </c>
    </row>
    <row r="12" spans="1:10" x14ac:dyDescent="0.3">
      <c r="A12" s="27" t="s">
        <v>203</v>
      </c>
      <c r="B12" s="27">
        <v>1</v>
      </c>
      <c r="C12" s="28">
        <v>735638.03</v>
      </c>
      <c r="D12" s="29">
        <f t="shared" ref="D12:D18" si="0">$B$4</f>
        <v>2.24E-2</v>
      </c>
      <c r="E12" s="29">
        <f t="shared" ref="E12:E18" si="1">$B$7</f>
        <v>0.45</v>
      </c>
      <c r="F12" s="28">
        <v>741356.86</v>
      </c>
      <c r="G12" s="28">
        <f t="shared" ref="G12:G41" si="2">D12*E12*F12</f>
        <v>7472.8771488000002</v>
      </c>
      <c r="H12" s="30">
        <v>7507.75</v>
      </c>
      <c r="I12" s="28">
        <f t="shared" ref="I12:I41" si="3">G12-H12</f>
        <v>-34.872851199999786</v>
      </c>
      <c r="J12" s="31">
        <f t="shared" ref="J12:J41" si="4">IFERROR(I12/H12,"-")</f>
        <v>-4.6449137491258747E-3</v>
      </c>
    </row>
    <row r="13" spans="1:10" x14ac:dyDescent="0.3">
      <c r="A13" s="27" t="s">
        <v>204</v>
      </c>
      <c r="B13" s="27">
        <v>1</v>
      </c>
      <c r="C13" s="28">
        <v>681358.32</v>
      </c>
      <c r="D13" s="29">
        <f t="shared" si="0"/>
        <v>2.24E-2</v>
      </c>
      <c r="E13" s="29">
        <f t="shared" si="1"/>
        <v>0.45</v>
      </c>
      <c r="F13" s="28">
        <v>683790.85</v>
      </c>
      <c r="G13" s="28">
        <f t="shared" si="2"/>
        <v>6892.6117679999998</v>
      </c>
      <c r="H13" s="30">
        <v>8502.42</v>
      </c>
      <c r="I13" s="28">
        <f t="shared" si="3"/>
        <v>-1609.8082320000003</v>
      </c>
      <c r="J13" s="31">
        <f t="shared" si="4"/>
        <v>-0.18933529889137449</v>
      </c>
    </row>
    <row r="14" spans="1:10" x14ac:dyDescent="0.3">
      <c r="A14" s="27" t="s">
        <v>205</v>
      </c>
      <c r="B14" s="27">
        <v>1</v>
      </c>
      <c r="C14" s="28">
        <v>292993.88</v>
      </c>
      <c r="D14" s="29">
        <f t="shared" si="0"/>
        <v>2.24E-2</v>
      </c>
      <c r="E14" s="29">
        <f t="shared" si="1"/>
        <v>0.45</v>
      </c>
      <c r="F14" s="28">
        <v>300458.28000000003</v>
      </c>
      <c r="G14" s="28">
        <f t="shared" si="2"/>
        <v>3028.6194624000004</v>
      </c>
      <c r="H14" s="30">
        <v>3238.45</v>
      </c>
      <c r="I14" s="28">
        <f t="shared" si="3"/>
        <v>-209.83053759999939</v>
      </c>
      <c r="J14" s="31">
        <f t="shared" si="4"/>
        <v>-6.479350849943627E-2</v>
      </c>
    </row>
    <row r="15" spans="1:10" x14ac:dyDescent="0.3">
      <c r="A15" s="27" t="s">
        <v>206</v>
      </c>
      <c r="B15" s="27">
        <v>1</v>
      </c>
      <c r="C15" s="28">
        <v>1014259.22</v>
      </c>
      <c r="D15" s="29">
        <f t="shared" si="0"/>
        <v>2.24E-2</v>
      </c>
      <c r="E15" s="29">
        <f t="shared" si="1"/>
        <v>0.45</v>
      </c>
      <c r="F15" s="28">
        <v>1024346.59</v>
      </c>
      <c r="G15" s="28">
        <f t="shared" si="2"/>
        <v>10325.4136272</v>
      </c>
      <c r="H15" s="30">
        <v>12400.16</v>
      </c>
      <c r="I15" s="28">
        <f t="shared" si="3"/>
        <v>-2074.7463728000002</v>
      </c>
      <c r="J15" s="31">
        <f t="shared" si="4"/>
        <v>-0.16731609695358771</v>
      </c>
    </row>
    <row r="16" spans="1:10" x14ac:dyDescent="0.3">
      <c r="A16" s="27" t="s">
        <v>207</v>
      </c>
      <c r="B16" s="27">
        <v>1</v>
      </c>
      <c r="C16" s="28">
        <v>0</v>
      </c>
      <c r="D16" s="29">
        <f t="shared" si="0"/>
        <v>2.24E-2</v>
      </c>
      <c r="E16" s="29">
        <f t="shared" si="1"/>
        <v>0.45</v>
      </c>
      <c r="F16" s="28">
        <v>0</v>
      </c>
      <c r="G16" s="28">
        <f t="shared" si="2"/>
        <v>0</v>
      </c>
      <c r="H16" s="30">
        <v>0</v>
      </c>
      <c r="I16" s="28">
        <f t="shared" si="3"/>
        <v>0</v>
      </c>
      <c r="J16" s="31" t="str">
        <f t="shared" si="4"/>
        <v>-</v>
      </c>
    </row>
    <row r="17" spans="1:10" x14ac:dyDescent="0.3">
      <c r="A17" s="27" t="s">
        <v>208</v>
      </c>
      <c r="B17" s="27">
        <v>1</v>
      </c>
      <c r="C17" s="28">
        <v>472100</v>
      </c>
      <c r="D17" s="29">
        <f t="shared" si="0"/>
        <v>2.24E-2</v>
      </c>
      <c r="E17" s="29">
        <f t="shared" si="1"/>
        <v>0.45</v>
      </c>
      <c r="F17" s="28">
        <v>490997.99</v>
      </c>
      <c r="G17" s="28">
        <f t="shared" si="2"/>
        <v>4949.2597391999998</v>
      </c>
      <c r="H17" s="30">
        <v>4103.25</v>
      </c>
      <c r="I17" s="28">
        <f t="shared" si="3"/>
        <v>846.00973919999979</v>
      </c>
      <c r="J17" s="31">
        <f t="shared" si="4"/>
        <v>0.20618040314384933</v>
      </c>
    </row>
    <row r="18" spans="1:10" x14ac:dyDescent="0.3">
      <c r="A18" s="27" t="s">
        <v>209</v>
      </c>
      <c r="B18" s="27">
        <v>1</v>
      </c>
      <c r="C18" s="28">
        <v>582956.54</v>
      </c>
      <c r="D18" s="29">
        <f t="shared" si="0"/>
        <v>2.24E-2</v>
      </c>
      <c r="E18" s="29">
        <f t="shared" si="1"/>
        <v>0.45</v>
      </c>
      <c r="F18" s="28">
        <v>611192.31000000006</v>
      </c>
      <c r="G18" s="28">
        <f t="shared" si="2"/>
        <v>6160.818484800001</v>
      </c>
      <c r="H18" s="30">
        <v>4266.18</v>
      </c>
      <c r="I18" s="28">
        <f t="shared" si="3"/>
        <v>1894.6384848000007</v>
      </c>
      <c r="J18" s="31">
        <f t="shared" si="4"/>
        <v>0.44410655077844829</v>
      </c>
    </row>
    <row r="19" spans="1:10" x14ac:dyDescent="0.3">
      <c r="A19" s="27" t="s">
        <v>210</v>
      </c>
      <c r="B19" s="27">
        <v>2</v>
      </c>
      <c r="C19" s="28">
        <v>300330.40000000002</v>
      </c>
      <c r="D19" s="29">
        <f>$B$5</f>
        <v>0.15</v>
      </c>
      <c r="E19" s="29">
        <f>$B$8</f>
        <v>0.5</v>
      </c>
      <c r="F19" s="28">
        <v>315288.3</v>
      </c>
      <c r="G19" s="28">
        <f t="shared" si="2"/>
        <v>23646.622499999998</v>
      </c>
      <c r="H19" s="30">
        <v>23959.23</v>
      </c>
      <c r="I19" s="28">
        <f t="shared" si="3"/>
        <v>-312.60750000000189</v>
      </c>
      <c r="J19" s="31">
        <f t="shared" si="4"/>
        <v>-1.304747690138631E-2</v>
      </c>
    </row>
    <row r="20" spans="1:10" x14ac:dyDescent="0.3">
      <c r="A20" s="27" t="s">
        <v>211</v>
      </c>
      <c r="B20" s="27">
        <v>1</v>
      </c>
      <c r="C20" s="28">
        <v>803444.42</v>
      </c>
      <c r="D20" s="29">
        <f>$B$4</f>
        <v>2.24E-2</v>
      </c>
      <c r="E20" s="29">
        <f>$B$7</f>
        <v>0.45</v>
      </c>
      <c r="F20" s="28">
        <v>805215.48</v>
      </c>
      <c r="G20" s="28">
        <f t="shared" si="2"/>
        <v>8116.5720384000006</v>
      </c>
      <c r="H20" s="30">
        <v>10414.719999999999</v>
      </c>
      <c r="I20" s="28">
        <f t="shared" si="3"/>
        <v>-2298.1479615999988</v>
      </c>
      <c r="J20" s="31">
        <f t="shared" si="4"/>
        <v>-0.22066344189762171</v>
      </c>
    </row>
    <row r="21" spans="1:10" x14ac:dyDescent="0.3">
      <c r="A21" s="27" t="s">
        <v>212</v>
      </c>
      <c r="B21" s="27">
        <v>3</v>
      </c>
      <c r="C21" s="28">
        <v>221104.02</v>
      </c>
      <c r="D21" s="29">
        <f>$B$6</f>
        <v>1</v>
      </c>
      <c r="E21" s="29">
        <f>$B$9</f>
        <v>0.6</v>
      </c>
      <c r="F21" s="28">
        <v>230067.02</v>
      </c>
      <c r="G21" s="28">
        <f t="shared" si="2"/>
        <v>138040.212</v>
      </c>
      <c r="H21" s="30">
        <v>140156.82999999999</v>
      </c>
      <c r="I21" s="28">
        <f t="shared" si="3"/>
        <v>-2116.6179999999877</v>
      </c>
      <c r="J21" s="31">
        <f t="shared" si="4"/>
        <v>-1.5101782767204338E-2</v>
      </c>
    </row>
    <row r="22" spans="1:10" x14ac:dyDescent="0.3">
      <c r="A22" s="27" t="s">
        <v>213</v>
      </c>
      <c r="B22" s="27">
        <v>2</v>
      </c>
      <c r="C22" s="28">
        <v>455218.15</v>
      </c>
      <c r="D22" s="29">
        <f>$B$5</f>
        <v>0.15</v>
      </c>
      <c r="E22" s="29">
        <f>$B$8</f>
        <v>0.5</v>
      </c>
      <c r="F22" s="28">
        <v>461015.87</v>
      </c>
      <c r="G22" s="28">
        <f t="shared" si="2"/>
        <v>34576.19025</v>
      </c>
      <c r="H22" s="30">
        <v>26932.13</v>
      </c>
      <c r="I22" s="28">
        <f t="shared" si="3"/>
        <v>7644.0602499999986</v>
      </c>
      <c r="J22" s="31">
        <f t="shared" si="4"/>
        <v>0.28382679906862168</v>
      </c>
    </row>
    <row r="23" spans="1:10" x14ac:dyDescent="0.3">
      <c r="A23" s="27" t="s">
        <v>214</v>
      </c>
      <c r="B23" s="27">
        <v>1</v>
      </c>
      <c r="C23" s="28">
        <v>203824.87</v>
      </c>
      <c r="D23" s="29">
        <f>$B$4</f>
        <v>2.24E-2</v>
      </c>
      <c r="E23" s="29">
        <f>$B$7</f>
        <v>0.45</v>
      </c>
      <c r="F23" s="28">
        <v>206002.75</v>
      </c>
      <c r="G23" s="28">
        <f t="shared" si="2"/>
        <v>2076.5077200000001</v>
      </c>
      <c r="H23" s="30">
        <v>1948.57</v>
      </c>
      <c r="I23" s="28">
        <f t="shared" si="3"/>
        <v>127.93772000000013</v>
      </c>
      <c r="J23" s="31">
        <f t="shared" si="4"/>
        <v>6.5657235819087917E-2</v>
      </c>
    </row>
    <row r="24" spans="1:10" x14ac:dyDescent="0.3">
      <c r="A24" s="27" t="s">
        <v>215</v>
      </c>
      <c r="B24" s="27">
        <v>1</v>
      </c>
      <c r="C24" s="28">
        <v>311026.19</v>
      </c>
      <c r="D24" s="29">
        <f>$B$4</f>
        <v>2.24E-2</v>
      </c>
      <c r="E24" s="29">
        <f>$B$7</f>
        <v>0.45</v>
      </c>
      <c r="F24" s="28">
        <v>324218.93</v>
      </c>
      <c r="G24" s="28">
        <f t="shared" si="2"/>
        <v>3268.1268144000001</v>
      </c>
      <c r="H24" s="30">
        <v>2010.83</v>
      </c>
      <c r="I24" s="28">
        <f t="shared" si="3"/>
        <v>1257.2968144000001</v>
      </c>
      <c r="J24" s="31">
        <f t="shared" si="4"/>
        <v>0.62526261016595142</v>
      </c>
    </row>
    <row r="25" spans="1:10" x14ac:dyDescent="0.3">
      <c r="A25" s="27" t="s">
        <v>216</v>
      </c>
      <c r="B25" s="27">
        <v>1</v>
      </c>
      <c r="C25" s="28">
        <v>615120.62</v>
      </c>
      <c r="D25" s="29">
        <f>$B$4</f>
        <v>2.24E-2</v>
      </c>
      <c r="E25" s="29">
        <f>$B$7</f>
        <v>0.45</v>
      </c>
      <c r="F25" s="28">
        <v>627656.76</v>
      </c>
      <c r="G25" s="28">
        <f t="shared" si="2"/>
        <v>6326.7801408000005</v>
      </c>
      <c r="H25" s="30">
        <v>5215.3599999999997</v>
      </c>
      <c r="I25" s="28">
        <f t="shared" si="3"/>
        <v>1111.4201408000008</v>
      </c>
      <c r="J25" s="31">
        <f t="shared" si="4"/>
        <v>0.21310516259663778</v>
      </c>
    </row>
    <row r="26" spans="1:10" x14ac:dyDescent="0.3">
      <c r="A26" s="27" t="s">
        <v>217</v>
      </c>
      <c r="B26" s="27">
        <v>1</v>
      </c>
      <c r="C26" s="28">
        <v>1095287.21</v>
      </c>
      <c r="D26" s="29">
        <f>$B$4</f>
        <v>2.24E-2</v>
      </c>
      <c r="E26" s="29">
        <f>$B$7</f>
        <v>0.45</v>
      </c>
      <c r="F26" s="28">
        <v>1131595.97</v>
      </c>
      <c r="G26" s="28">
        <f t="shared" si="2"/>
        <v>11406.4873776</v>
      </c>
      <c r="H26" s="30">
        <v>14866.05</v>
      </c>
      <c r="I26" s="28">
        <f t="shared" si="3"/>
        <v>-3459.5626223999989</v>
      </c>
      <c r="J26" s="31">
        <f t="shared" si="4"/>
        <v>-0.23271565899482372</v>
      </c>
    </row>
    <row r="27" spans="1:10" x14ac:dyDescent="0.3">
      <c r="A27" s="27" t="s">
        <v>218</v>
      </c>
      <c r="B27" s="27">
        <v>3</v>
      </c>
      <c r="C27" s="28">
        <v>751710.94</v>
      </c>
      <c r="D27" s="29">
        <f>$B$6</f>
        <v>1</v>
      </c>
      <c r="E27" s="29">
        <f>$B$9</f>
        <v>0.6</v>
      </c>
      <c r="F27" s="28">
        <v>779822.13</v>
      </c>
      <c r="G27" s="28">
        <f t="shared" si="2"/>
        <v>467893.27799999999</v>
      </c>
      <c r="H27" s="30">
        <v>282463.52</v>
      </c>
      <c r="I27" s="28">
        <f t="shared" si="3"/>
        <v>185429.75799999997</v>
      </c>
      <c r="J27" s="31">
        <f t="shared" si="4"/>
        <v>0.65647329609147387</v>
      </c>
    </row>
    <row r="28" spans="1:10" x14ac:dyDescent="0.3">
      <c r="A28" s="27" t="s">
        <v>219</v>
      </c>
      <c r="B28" s="27">
        <v>1</v>
      </c>
      <c r="C28" s="28">
        <v>301866.40000000002</v>
      </c>
      <c r="D28" s="29">
        <f t="shared" ref="D28:D41" si="5">$B$4</f>
        <v>2.24E-2</v>
      </c>
      <c r="E28" s="29">
        <f t="shared" ref="E28:E41" si="6">$B$7</f>
        <v>0.45</v>
      </c>
      <c r="F28" s="28">
        <v>312941.81</v>
      </c>
      <c r="G28" s="28">
        <f t="shared" si="2"/>
        <v>3154.4534447999999</v>
      </c>
      <c r="H28" s="30">
        <v>3384</v>
      </c>
      <c r="I28" s="28">
        <f t="shared" si="3"/>
        <v>-229.54655520000006</v>
      </c>
      <c r="J28" s="31">
        <f t="shared" si="4"/>
        <v>-6.7832906382978744E-2</v>
      </c>
    </row>
    <row r="29" spans="1:10" x14ac:dyDescent="0.3">
      <c r="A29" s="27" t="s">
        <v>220</v>
      </c>
      <c r="B29" s="27">
        <v>1</v>
      </c>
      <c r="C29" s="28">
        <v>407826.41</v>
      </c>
      <c r="D29" s="29">
        <f t="shared" si="5"/>
        <v>2.24E-2</v>
      </c>
      <c r="E29" s="29">
        <f t="shared" si="6"/>
        <v>0.45</v>
      </c>
      <c r="F29" s="28">
        <v>419147.19</v>
      </c>
      <c r="G29" s="28">
        <f t="shared" si="2"/>
        <v>4225.0036752000005</v>
      </c>
      <c r="H29" s="30">
        <v>3342.74</v>
      </c>
      <c r="I29" s="28">
        <f t="shared" si="3"/>
        <v>882.26367520000076</v>
      </c>
      <c r="J29" s="31">
        <f t="shared" si="4"/>
        <v>0.26393428002177877</v>
      </c>
    </row>
    <row r="30" spans="1:10" x14ac:dyDescent="0.3">
      <c r="A30" s="27" t="s">
        <v>221</v>
      </c>
      <c r="B30" s="27">
        <v>1</v>
      </c>
      <c r="C30" s="28">
        <v>429314.7</v>
      </c>
      <c r="D30" s="29">
        <f t="shared" si="5"/>
        <v>2.24E-2</v>
      </c>
      <c r="E30" s="29">
        <f t="shared" si="6"/>
        <v>0.45</v>
      </c>
      <c r="F30" s="28">
        <v>435673.85</v>
      </c>
      <c r="G30" s="28">
        <f t="shared" si="2"/>
        <v>4391.5924079999995</v>
      </c>
      <c r="H30" s="30">
        <v>6741.98</v>
      </c>
      <c r="I30" s="28">
        <f t="shared" si="3"/>
        <v>-2350.387592</v>
      </c>
      <c r="J30" s="31">
        <f t="shared" si="4"/>
        <v>-0.34861978113254566</v>
      </c>
    </row>
    <row r="31" spans="1:10" x14ac:dyDescent="0.3">
      <c r="A31" s="27" t="s">
        <v>222</v>
      </c>
      <c r="B31" s="27">
        <v>1</v>
      </c>
      <c r="C31" s="28">
        <v>0</v>
      </c>
      <c r="D31" s="29">
        <f t="shared" si="5"/>
        <v>2.24E-2</v>
      </c>
      <c r="E31" s="29">
        <f t="shared" si="6"/>
        <v>0.45</v>
      </c>
      <c r="F31" s="28">
        <v>0</v>
      </c>
      <c r="G31" s="28">
        <f t="shared" si="2"/>
        <v>0</v>
      </c>
      <c r="H31" s="30">
        <v>0</v>
      </c>
      <c r="I31" s="28">
        <f t="shared" si="3"/>
        <v>0</v>
      </c>
      <c r="J31" s="31" t="str">
        <f t="shared" si="4"/>
        <v>-</v>
      </c>
    </row>
    <row r="32" spans="1:10" x14ac:dyDescent="0.3">
      <c r="A32" s="27" t="s">
        <v>223</v>
      </c>
      <c r="B32" s="27">
        <v>1</v>
      </c>
      <c r="C32" s="28">
        <v>750211.17</v>
      </c>
      <c r="D32" s="29">
        <f t="shared" si="5"/>
        <v>2.24E-2</v>
      </c>
      <c r="E32" s="29">
        <f t="shared" si="6"/>
        <v>0.45</v>
      </c>
      <c r="F32" s="28">
        <v>779763.04</v>
      </c>
      <c r="G32" s="28">
        <f t="shared" si="2"/>
        <v>7860.0114432000009</v>
      </c>
      <c r="H32" s="30">
        <v>10857.3</v>
      </c>
      <c r="I32" s="28">
        <f t="shared" si="3"/>
        <v>-2997.2885567999983</v>
      </c>
      <c r="J32" s="31">
        <f t="shared" si="4"/>
        <v>-0.27606205564919439</v>
      </c>
    </row>
    <row r="33" spans="1:10" x14ac:dyDescent="0.3">
      <c r="A33" s="27" t="s">
        <v>224</v>
      </c>
      <c r="B33" s="27">
        <v>1</v>
      </c>
      <c r="C33" s="28">
        <v>43587.54</v>
      </c>
      <c r="D33" s="29">
        <f t="shared" si="5"/>
        <v>2.24E-2</v>
      </c>
      <c r="E33" s="29">
        <f t="shared" si="6"/>
        <v>0.45</v>
      </c>
      <c r="F33" s="28">
        <v>43969.35</v>
      </c>
      <c r="G33" s="28">
        <f t="shared" si="2"/>
        <v>443.21104800000001</v>
      </c>
      <c r="H33" s="30">
        <v>531.99</v>
      </c>
      <c r="I33" s="28">
        <f t="shared" si="3"/>
        <v>-88.778952000000004</v>
      </c>
      <c r="J33" s="31">
        <f t="shared" si="4"/>
        <v>-0.16688086618169515</v>
      </c>
    </row>
    <row r="34" spans="1:10" x14ac:dyDescent="0.3">
      <c r="A34" s="27" t="s">
        <v>225</v>
      </c>
      <c r="B34" s="27">
        <v>1</v>
      </c>
      <c r="C34" s="28">
        <v>799124.23</v>
      </c>
      <c r="D34" s="29">
        <f t="shared" si="5"/>
        <v>2.24E-2</v>
      </c>
      <c r="E34" s="29">
        <f t="shared" si="6"/>
        <v>0.45</v>
      </c>
      <c r="F34" s="28">
        <v>821068.97</v>
      </c>
      <c r="G34" s="28">
        <f t="shared" si="2"/>
        <v>8276.3752175999998</v>
      </c>
      <c r="H34" s="30">
        <v>7797.21</v>
      </c>
      <c r="I34" s="28">
        <f t="shared" si="3"/>
        <v>479.16521759999978</v>
      </c>
      <c r="J34" s="31">
        <f t="shared" si="4"/>
        <v>6.1453419569307458E-2</v>
      </c>
    </row>
    <row r="35" spans="1:10" x14ac:dyDescent="0.3">
      <c r="A35" s="27" t="s">
        <v>226</v>
      </c>
      <c r="B35" s="27">
        <v>1</v>
      </c>
      <c r="C35" s="28">
        <v>409388.48</v>
      </c>
      <c r="D35" s="29">
        <f t="shared" si="5"/>
        <v>2.24E-2</v>
      </c>
      <c r="E35" s="29">
        <f t="shared" si="6"/>
        <v>0.45</v>
      </c>
      <c r="F35" s="28">
        <v>414857.35</v>
      </c>
      <c r="G35" s="28">
        <f t="shared" si="2"/>
        <v>4181.7620879999995</v>
      </c>
      <c r="H35" s="30">
        <v>4402.4799999999996</v>
      </c>
      <c r="I35" s="28">
        <f t="shared" si="3"/>
        <v>-220.71791200000007</v>
      </c>
      <c r="J35" s="31">
        <f t="shared" si="4"/>
        <v>-5.0134903963220748E-2</v>
      </c>
    </row>
    <row r="36" spans="1:10" x14ac:dyDescent="0.3">
      <c r="A36" s="27" t="s">
        <v>227</v>
      </c>
      <c r="B36" s="27">
        <v>1</v>
      </c>
      <c r="C36" s="28">
        <v>884760.83</v>
      </c>
      <c r="D36" s="29">
        <f t="shared" si="5"/>
        <v>2.24E-2</v>
      </c>
      <c r="E36" s="29">
        <f t="shared" si="6"/>
        <v>0.45</v>
      </c>
      <c r="F36" s="28">
        <v>904239.11</v>
      </c>
      <c r="G36" s="28">
        <f t="shared" si="2"/>
        <v>9114.730228800001</v>
      </c>
      <c r="H36" s="30">
        <v>13509.44</v>
      </c>
      <c r="I36" s="28">
        <f t="shared" si="3"/>
        <v>-4394.7097711999995</v>
      </c>
      <c r="J36" s="31">
        <f t="shared" si="4"/>
        <v>-0.32530658348532576</v>
      </c>
    </row>
    <row r="37" spans="1:10" x14ac:dyDescent="0.3">
      <c r="A37" s="27" t="s">
        <v>228</v>
      </c>
      <c r="B37" s="27">
        <v>1</v>
      </c>
      <c r="C37" s="28">
        <v>1696808.5</v>
      </c>
      <c r="D37" s="29">
        <f t="shared" si="5"/>
        <v>2.24E-2</v>
      </c>
      <c r="E37" s="29">
        <f t="shared" si="6"/>
        <v>0.45</v>
      </c>
      <c r="F37" s="28">
        <v>1721697.95</v>
      </c>
      <c r="G37" s="28">
        <f t="shared" si="2"/>
        <v>17354.715336000001</v>
      </c>
      <c r="H37" s="30">
        <v>14800.54</v>
      </c>
      <c r="I37" s="28">
        <f t="shared" si="3"/>
        <v>2554.1753360000002</v>
      </c>
      <c r="J37" s="31">
        <f t="shared" si="4"/>
        <v>0.17257311800785646</v>
      </c>
    </row>
    <row r="38" spans="1:10" x14ac:dyDescent="0.3">
      <c r="A38" s="27" t="s">
        <v>229</v>
      </c>
      <c r="B38" s="27">
        <v>1</v>
      </c>
      <c r="C38" s="28">
        <v>163056.82</v>
      </c>
      <c r="D38" s="29">
        <f t="shared" si="5"/>
        <v>2.24E-2</v>
      </c>
      <c r="E38" s="29">
        <f t="shared" si="6"/>
        <v>0.45</v>
      </c>
      <c r="F38" s="28">
        <v>166166.01999999999</v>
      </c>
      <c r="G38" s="28">
        <f t="shared" si="2"/>
        <v>1674.9534816</v>
      </c>
      <c r="H38" s="30">
        <v>1536.11</v>
      </c>
      <c r="I38" s="28">
        <f t="shared" si="3"/>
        <v>138.84348160000013</v>
      </c>
      <c r="J38" s="31">
        <f t="shared" si="4"/>
        <v>9.0386418680953928E-2</v>
      </c>
    </row>
    <row r="39" spans="1:10" x14ac:dyDescent="0.3">
      <c r="A39" s="27" t="s">
        <v>230</v>
      </c>
      <c r="B39" s="27">
        <v>1</v>
      </c>
      <c r="C39" s="28">
        <v>1615943.24</v>
      </c>
      <c r="D39" s="29">
        <f t="shared" si="5"/>
        <v>2.24E-2</v>
      </c>
      <c r="E39" s="29">
        <f t="shared" si="6"/>
        <v>0.45</v>
      </c>
      <c r="F39" s="28">
        <v>1683043.07</v>
      </c>
      <c r="G39" s="28">
        <f t="shared" si="2"/>
        <v>16965.0741456</v>
      </c>
      <c r="H39" s="30">
        <v>21424.47</v>
      </c>
      <c r="I39" s="28">
        <f t="shared" si="3"/>
        <v>-4459.3958544000016</v>
      </c>
      <c r="J39" s="31">
        <f t="shared" si="4"/>
        <v>-0.2081449788209464</v>
      </c>
    </row>
    <row r="40" spans="1:10" x14ac:dyDescent="0.3">
      <c r="A40" s="27" t="s">
        <v>231</v>
      </c>
      <c r="B40" s="27">
        <v>1</v>
      </c>
      <c r="C40" s="28">
        <v>781047.58</v>
      </c>
      <c r="D40" s="29">
        <f t="shared" si="5"/>
        <v>2.24E-2</v>
      </c>
      <c r="E40" s="29">
        <f t="shared" si="6"/>
        <v>0.45</v>
      </c>
      <c r="F40" s="28">
        <v>793857.01</v>
      </c>
      <c r="G40" s="28">
        <f t="shared" si="2"/>
        <v>8002.0786608000008</v>
      </c>
      <c r="H40" s="30">
        <v>10753.75</v>
      </c>
      <c r="I40" s="28">
        <f t="shared" si="3"/>
        <v>-2751.6713391999992</v>
      </c>
      <c r="J40" s="31">
        <f t="shared" si="4"/>
        <v>-0.25588016637916999</v>
      </c>
    </row>
    <row r="41" spans="1:10" x14ac:dyDescent="0.3">
      <c r="A41" s="27" t="s">
        <v>232</v>
      </c>
      <c r="B41" s="27">
        <v>1</v>
      </c>
      <c r="C41" s="28">
        <v>428576.13</v>
      </c>
      <c r="D41" s="29">
        <f t="shared" si="5"/>
        <v>2.24E-2</v>
      </c>
      <c r="E41" s="29">
        <f t="shared" si="6"/>
        <v>0.45</v>
      </c>
      <c r="F41" s="28">
        <v>440243.38</v>
      </c>
      <c r="G41" s="28">
        <f t="shared" si="2"/>
        <v>4437.6532704000001</v>
      </c>
      <c r="H41" s="30">
        <v>3718.58</v>
      </c>
      <c r="I41" s="28">
        <f t="shared" si="3"/>
        <v>719.07327040000018</v>
      </c>
      <c r="J41" s="31">
        <f t="shared" si="4"/>
        <v>0.19337308069209219</v>
      </c>
    </row>
    <row r="42" spans="1:10" x14ac:dyDescent="0.3">
      <c r="A42" s="32" t="s">
        <v>233</v>
      </c>
      <c r="B42" s="33"/>
      <c r="C42" s="34">
        <f>SUM(C12:C41)</f>
        <v>17247884.84</v>
      </c>
      <c r="D42" s="33"/>
      <c r="E42" s="33"/>
      <c r="F42" s="34">
        <f>SUM(F12:F41)</f>
        <v>17669694.189999998</v>
      </c>
      <c r="G42" s="34">
        <f>SUM(G12:G41)</f>
        <v>824261.99151960004</v>
      </c>
      <c r="H42" s="34">
        <f>SUM(H12:H41)</f>
        <v>650786.0399999998</v>
      </c>
      <c r="I42" s="34">
        <f>SUM(I12:I41)</f>
        <v>173475.9515196</v>
      </c>
      <c r="J42" s="33"/>
    </row>
    <row r="45" spans="1:10" x14ac:dyDescent="0.3">
      <c r="A45" s="52" t="s">
        <v>234</v>
      </c>
      <c r="B45" s="53"/>
      <c r="C45" s="53"/>
    </row>
    <row r="46" spans="1:10" x14ac:dyDescent="0.3">
      <c r="A46" s="26" t="s">
        <v>235</v>
      </c>
      <c r="B46" s="26" t="s">
        <v>236</v>
      </c>
      <c r="C46" s="26" t="s">
        <v>200</v>
      </c>
    </row>
    <row r="47" spans="1:10" x14ac:dyDescent="0.3">
      <c r="A47" s="35" t="s">
        <v>237</v>
      </c>
      <c r="B47" s="28">
        <f>G12+G13+G14+G15+G16+G17+G18+G20+G23+G24+G25+G26+G28+G29+G30+G31+G32+G33+G34+G35+G36+G37+G38+G39+G40+G41</f>
        <v>160105.68876960003</v>
      </c>
      <c r="C47" s="30">
        <f>H12+H13+H14+H15+H16+H17+H18+H20+H23+H24+H25+H26+H28+H29+H30+H31+H32+H33+H34+H35+H36+H37+H38+H39+H40+H41</f>
        <v>177274.33</v>
      </c>
    </row>
    <row r="48" spans="1:10" x14ac:dyDescent="0.3">
      <c r="A48" s="35" t="s">
        <v>238</v>
      </c>
      <c r="B48" s="28">
        <f>G19+G22</f>
        <v>58222.812749999997</v>
      </c>
      <c r="C48" s="30">
        <f>H19+H22</f>
        <v>50891.360000000001</v>
      </c>
    </row>
    <row r="49" spans="1:3" x14ac:dyDescent="0.3">
      <c r="A49" s="24" t="s">
        <v>239</v>
      </c>
      <c r="B49" s="36">
        <f>G21+G27</f>
        <v>605933.49</v>
      </c>
      <c r="C49" s="37">
        <f>H21+H27</f>
        <v>422620.35</v>
      </c>
    </row>
  </sheetData>
  <mergeCells count="3">
    <mergeCell ref="A45:C45"/>
    <mergeCell ref="A1:J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defaultRowHeight="14.4" x14ac:dyDescent="0.3"/>
  <cols>
    <col min="1" max="1" width="32" customWidth="1"/>
    <col min="2" max="3" width="22" customWidth="1"/>
    <col min="4" max="6" width="18" customWidth="1"/>
    <col min="7" max="7" width="16" customWidth="1"/>
  </cols>
  <sheetData>
    <row r="1" spans="1:7" ht="28.05" customHeight="1" x14ac:dyDescent="0.3">
      <c r="A1" s="50" t="s">
        <v>240</v>
      </c>
      <c r="B1" s="51"/>
      <c r="C1" s="51"/>
      <c r="D1" s="51"/>
      <c r="E1" s="51"/>
      <c r="F1" s="51"/>
      <c r="G1" s="51"/>
    </row>
    <row r="3" spans="1:7" x14ac:dyDescent="0.3">
      <c r="A3" s="54" t="s">
        <v>241</v>
      </c>
      <c r="B3" s="51"/>
    </row>
    <row r="4" spans="1:7" x14ac:dyDescent="0.3">
      <c r="A4" s="24" t="s">
        <v>242</v>
      </c>
      <c r="B4" s="38" t="s">
        <v>243</v>
      </c>
    </row>
    <row r="5" spans="1:7" x14ac:dyDescent="0.3">
      <c r="A5" s="24" t="s">
        <v>244</v>
      </c>
      <c r="B5" s="37">
        <v>14856931.25</v>
      </c>
    </row>
    <row r="6" spans="1:7" x14ac:dyDescent="0.3">
      <c r="A6" s="24" t="s">
        <v>245</v>
      </c>
      <c r="B6" s="37">
        <v>350000000</v>
      </c>
    </row>
    <row r="7" spans="1:7" x14ac:dyDescent="0.3">
      <c r="A7" s="24" t="s">
        <v>246</v>
      </c>
      <c r="B7" s="39">
        <v>8.5000000000000006E-2</v>
      </c>
    </row>
    <row r="8" spans="1:7" x14ac:dyDescent="0.3">
      <c r="A8" s="24" t="s">
        <v>247</v>
      </c>
      <c r="B8" s="37">
        <v>80000000</v>
      </c>
    </row>
    <row r="9" spans="1:7" x14ac:dyDescent="0.3">
      <c r="A9" s="24" t="s">
        <v>248</v>
      </c>
      <c r="B9" s="39">
        <v>0.105</v>
      </c>
    </row>
    <row r="10" spans="1:7" x14ac:dyDescent="0.3">
      <c r="A10" s="24" t="s">
        <v>249</v>
      </c>
      <c r="B10" s="39">
        <v>5.0000000000000001E-3</v>
      </c>
    </row>
    <row r="11" spans="1:7" x14ac:dyDescent="0.3">
      <c r="A11" s="24" t="s">
        <v>250</v>
      </c>
      <c r="B11" s="37">
        <v>50000</v>
      </c>
    </row>
    <row r="12" spans="1:7" x14ac:dyDescent="0.3">
      <c r="A12" s="24" t="s">
        <v>251</v>
      </c>
      <c r="B12" s="37">
        <v>419062.15</v>
      </c>
    </row>
    <row r="15" spans="1:7" x14ac:dyDescent="0.3">
      <c r="A15" s="26" t="s">
        <v>252</v>
      </c>
      <c r="B15" s="26" t="s">
        <v>253</v>
      </c>
      <c r="C15" s="26" t="s">
        <v>254</v>
      </c>
      <c r="D15" s="26" t="s">
        <v>255</v>
      </c>
      <c r="E15" s="26" t="s">
        <v>256</v>
      </c>
      <c r="F15" s="26" t="s">
        <v>201</v>
      </c>
      <c r="G15" s="26" t="s">
        <v>257</v>
      </c>
    </row>
    <row r="16" spans="1:7" x14ac:dyDescent="0.3">
      <c r="A16" s="27">
        <v>1</v>
      </c>
      <c r="B16" s="35" t="s">
        <v>258</v>
      </c>
      <c r="C16" s="40">
        <f>$B$5</f>
        <v>14856931.25</v>
      </c>
      <c r="D16" s="28">
        <f>$B$5</f>
        <v>14856931.25</v>
      </c>
      <c r="E16" s="30">
        <v>0</v>
      </c>
      <c r="F16" s="28">
        <f t="shared" ref="F16:F26" si="0">D16-E16</f>
        <v>14856931.25</v>
      </c>
      <c r="G16" s="27" t="str">
        <f t="shared" ref="G16:G26" si="1">IF(ABS(F16)&lt;1,"Reconciled","Variance")</f>
        <v>Variance</v>
      </c>
    </row>
    <row r="17" spans="1:7" x14ac:dyDescent="0.3">
      <c r="A17" s="27">
        <v>2</v>
      </c>
      <c r="B17" s="27" t="s">
        <v>259</v>
      </c>
      <c r="C17" s="40">
        <f>-($B$5*$B$11/12)</f>
        <v>-61903880208.333336</v>
      </c>
      <c r="D17" s="28">
        <f>-($B$5*$B$11/12)</f>
        <v>-61903880208.333336</v>
      </c>
      <c r="E17" s="30">
        <v>0</v>
      </c>
      <c r="F17" s="28">
        <f t="shared" si="0"/>
        <v>-61903880208.333336</v>
      </c>
      <c r="G17" s="27" t="str">
        <f t="shared" si="1"/>
        <v>Variance</v>
      </c>
    </row>
    <row r="18" spans="1:7" x14ac:dyDescent="0.3">
      <c r="A18" s="27">
        <v>3</v>
      </c>
      <c r="B18" s="27" t="s">
        <v>260</v>
      </c>
      <c r="C18" s="40">
        <f>-$B$12</f>
        <v>-419062.15</v>
      </c>
      <c r="D18" s="28">
        <f>-$B$12</f>
        <v>-419062.15</v>
      </c>
      <c r="E18" s="30">
        <v>0</v>
      </c>
      <c r="F18" s="28">
        <f t="shared" si="0"/>
        <v>-419062.15</v>
      </c>
      <c r="G18" s="27" t="str">
        <f t="shared" si="1"/>
        <v>Variance</v>
      </c>
    </row>
    <row r="19" spans="1:7" x14ac:dyDescent="0.3">
      <c r="A19" s="27">
        <v>4</v>
      </c>
      <c r="B19" s="35" t="s">
        <v>261</v>
      </c>
      <c r="C19" s="40">
        <f>D16+D17+D18</f>
        <v>-61889442339.233337</v>
      </c>
      <c r="D19" s="28">
        <f>D16+D17+D18</f>
        <v>-61889442339.233337</v>
      </c>
      <c r="E19" s="30">
        <v>0</v>
      </c>
      <c r="F19" s="28">
        <f t="shared" si="0"/>
        <v>-61889442339.233337</v>
      </c>
      <c r="G19" s="27" t="str">
        <f t="shared" si="1"/>
        <v>Variance</v>
      </c>
    </row>
    <row r="20" spans="1:7" x14ac:dyDescent="0.3">
      <c r="A20" s="27">
        <v>5</v>
      </c>
      <c r="B20" s="27" t="s">
        <v>262</v>
      </c>
      <c r="C20" s="40">
        <f>-($B$7*$B$8/12)</f>
        <v>-566666.66666666674</v>
      </c>
      <c r="D20" s="28">
        <f>-($B$7*$B$8/12)</f>
        <v>-566666.66666666674</v>
      </c>
      <c r="E20" s="30">
        <v>0</v>
      </c>
      <c r="F20" s="28">
        <f t="shared" si="0"/>
        <v>-566666.66666666674</v>
      </c>
      <c r="G20" s="27" t="str">
        <f t="shared" si="1"/>
        <v>Variance</v>
      </c>
    </row>
    <row r="21" spans="1:7" x14ac:dyDescent="0.3">
      <c r="A21" s="27">
        <v>6</v>
      </c>
      <c r="B21" s="35" t="s">
        <v>263</v>
      </c>
      <c r="C21" s="40">
        <f>D19+D20</f>
        <v>-61890009005.900002</v>
      </c>
      <c r="D21" s="28">
        <f>D19+D20</f>
        <v>-61890009005.900002</v>
      </c>
      <c r="E21" s="30">
        <v>0</v>
      </c>
      <c r="F21" s="28">
        <f t="shared" si="0"/>
        <v>-61890009005.900002</v>
      </c>
      <c r="G21" s="27" t="str">
        <f t="shared" si="1"/>
        <v>Variance</v>
      </c>
    </row>
    <row r="22" spans="1:7" x14ac:dyDescent="0.3">
      <c r="A22" s="27">
        <v>7</v>
      </c>
      <c r="B22" s="27" t="s">
        <v>264</v>
      </c>
      <c r="C22" s="40">
        <f>-MIN(D21,$B$7)</f>
        <v>61890009005.900002</v>
      </c>
      <c r="D22" s="28">
        <f>-MIN(D21,$B$7)</f>
        <v>61890009005.900002</v>
      </c>
      <c r="E22" s="30">
        <v>0</v>
      </c>
      <c r="F22" s="28">
        <f t="shared" si="0"/>
        <v>61890009005.900002</v>
      </c>
      <c r="G22" s="27" t="str">
        <f t="shared" si="1"/>
        <v>Variance</v>
      </c>
    </row>
    <row r="23" spans="1:7" x14ac:dyDescent="0.3">
      <c r="A23" s="27">
        <v>8</v>
      </c>
      <c r="B23" s="35" t="s">
        <v>265</v>
      </c>
      <c r="C23" s="40">
        <f>D21+D22</f>
        <v>0</v>
      </c>
      <c r="D23" s="28">
        <f>D21+D22</f>
        <v>0</v>
      </c>
      <c r="E23" s="30">
        <v>0</v>
      </c>
      <c r="F23" s="28">
        <f t="shared" si="0"/>
        <v>0</v>
      </c>
      <c r="G23" s="27" t="str">
        <f t="shared" si="1"/>
        <v>Reconciled</v>
      </c>
    </row>
    <row r="24" spans="1:7" x14ac:dyDescent="0.3">
      <c r="A24" s="27">
        <v>9</v>
      </c>
      <c r="B24" s="27" t="s">
        <v>266</v>
      </c>
      <c r="C24" s="40">
        <f>-($B$9*$B$10/12)</f>
        <v>-4.375E-5</v>
      </c>
      <c r="D24" s="28">
        <f>-($B$9*$B$10/12)</f>
        <v>-4.375E-5</v>
      </c>
      <c r="E24" s="30">
        <v>0</v>
      </c>
      <c r="F24" s="28">
        <f t="shared" si="0"/>
        <v>-4.375E-5</v>
      </c>
      <c r="G24" s="27" t="str">
        <f t="shared" si="1"/>
        <v>Reconciled</v>
      </c>
    </row>
    <row r="25" spans="1:7" x14ac:dyDescent="0.3">
      <c r="A25" s="27">
        <v>10</v>
      </c>
      <c r="B25" s="27" t="s">
        <v>267</v>
      </c>
      <c r="C25" s="40">
        <f>-$B$13</f>
        <v>0</v>
      </c>
      <c r="D25" s="28">
        <f>-$B$13</f>
        <v>0</v>
      </c>
      <c r="E25" s="30">
        <v>0</v>
      </c>
      <c r="F25" s="28">
        <f t="shared" si="0"/>
        <v>0</v>
      </c>
      <c r="G25" s="27" t="str">
        <f t="shared" si="1"/>
        <v>Reconciled</v>
      </c>
    </row>
    <row r="26" spans="1:7" x14ac:dyDescent="0.3">
      <c r="A26" s="27">
        <v>11</v>
      </c>
      <c r="B26" s="35" t="s">
        <v>268</v>
      </c>
      <c r="C26" s="40">
        <f>D23+D24+D25</f>
        <v>-4.375E-5</v>
      </c>
      <c r="D26" s="28">
        <f>D23+D24+D25</f>
        <v>-4.375E-5</v>
      </c>
      <c r="E26" s="30">
        <v>0</v>
      </c>
      <c r="F26" s="28">
        <f t="shared" si="0"/>
        <v>-4.375E-5</v>
      </c>
      <c r="G26" s="27" t="str">
        <f t="shared" si="1"/>
        <v>Reconciled</v>
      </c>
    </row>
    <row r="29" spans="1:7" x14ac:dyDescent="0.3">
      <c r="A29" s="52" t="s">
        <v>269</v>
      </c>
      <c r="B29" s="53"/>
      <c r="C29" s="53"/>
      <c r="D29" s="53"/>
      <c r="E29" s="53"/>
      <c r="F29" s="53"/>
      <c r="G29" s="51"/>
    </row>
    <row r="30" spans="1:7" x14ac:dyDescent="0.3">
      <c r="A30" s="26" t="s">
        <v>270</v>
      </c>
      <c r="B30" s="26" t="s">
        <v>271</v>
      </c>
      <c r="C30" s="26" t="s">
        <v>272</v>
      </c>
      <c r="D30" s="26" t="s">
        <v>254</v>
      </c>
      <c r="E30" s="26" t="s">
        <v>257</v>
      </c>
      <c r="F30" s="26" t="s">
        <v>273</v>
      </c>
    </row>
    <row r="31" spans="1:7" x14ac:dyDescent="0.3">
      <c r="A31" s="35" t="s">
        <v>137</v>
      </c>
      <c r="B31" s="27" t="s">
        <v>274</v>
      </c>
      <c r="C31" s="41">
        <f>B7/B7</f>
        <v>1</v>
      </c>
      <c r="D31" s="40"/>
      <c r="E31" s="42" t="s">
        <v>275</v>
      </c>
      <c r="F31" s="27" t="s">
        <v>276</v>
      </c>
    </row>
    <row r="32" spans="1:7" x14ac:dyDescent="0.3">
      <c r="A32" s="35" t="s">
        <v>277</v>
      </c>
      <c r="B32" s="27" t="s">
        <v>278</v>
      </c>
      <c r="C32" s="41">
        <f>B7/(B7+B9)</f>
        <v>0.44736842105263158</v>
      </c>
      <c r="D32" s="40"/>
      <c r="E32" s="42" t="s">
        <v>275</v>
      </c>
      <c r="F32" s="27" t="s">
        <v>279</v>
      </c>
    </row>
    <row r="33" spans="1:6" x14ac:dyDescent="0.3">
      <c r="A33" s="35" t="s">
        <v>280</v>
      </c>
      <c r="B33" s="27" t="s">
        <v>281</v>
      </c>
      <c r="C33" s="41" t="s">
        <v>282</v>
      </c>
      <c r="D33" s="40"/>
      <c r="E33" s="42" t="s">
        <v>275</v>
      </c>
      <c r="F33" s="27" t="s">
        <v>283</v>
      </c>
    </row>
    <row r="34" spans="1:6" x14ac:dyDescent="0.3">
      <c r="A34" s="35" t="s">
        <v>284</v>
      </c>
      <c r="B34" s="27" t="s">
        <v>285</v>
      </c>
      <c r="C34" s="41" t="s">
        <v>282</v>
      </c>
      <c r="D34" s="40"/>
      <c r="E34" s="42" t="s">
        <v>275</v>
      </c>
      <c r="F34" s="27" t="s">
        <v>286</v>
      </c>
    </row>
    <row r="35" spans="1:6" x14ac:dyDescent="0.3">
      <c r="A35" s="35" t="s">
        <v>287</v>
      </c>
      <c r="B35" s="27" t="s">
        <v>288</v>
      </c>
      <c r="C35" s="41" t="s">
        <v>282</v>
      </c>
      <c r="D35" s="40"/>
      <c r="E35" s="42" t="s">
        <v>275</v>
      </c>
      <c r="F35" s="27" t="s">
        <v>289</v>
      </c>
    </row>
  </sheetData>
  <mergeCells count="3">
    <mergeCell ref="A3:B3"/>
    <mergeCell ref="A1:G1"/>
    <mergeCell ref="A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7"/>
  <sheetViews>
    <sheetView workbookViewId="0"/>
  </sheetViews>
  <sheetFormatPr defaultRowHeight="14.4" x14ac:dyDescent="0.3"/>
  <cols>
    <col min="1" max="1" width="14" customWidth="1"/>
    <col min="2" max="2" width="18" customWidth="1"/>
    <col min="3" max="3" width="19" customWidth="1"/>
    <col min="4" max="4" width="21" customWidth="1"/>
    <col min="5" max="5" width="14" customWidth="1"/>
    <col min="6" max="6" width="26" customWidth="1"/>
    <col min="7" max="7" width="28" customWidth="1"/>
    <col min="8" max="8" width="21" customWidth="1"/>
    <col min="9" max="9" width="22" customWidth="1"/>
    <col min="10" max="10" width="19" customWidth="1"/>
    <col min="11" max="12" width="23" customWidth="1"/>
    <col min="13" max="13" width="22" customWidth="1"/>
    <col min="14" max="14" width="14" customWidth="1"/>
    <col min="15" max="15" width="21" customWidth="1"/>
    <col min="16" max="16" width="18" customWidth="1"/>
  </cols>
  <sheetData>
    <row r="1" spans="1:16" ht="28.05" customHeight="1" x14ac:dyDescent="0.3">
      <c r="A1" s="50" t="s">
        <v>290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3" spans="1:16" x14ac:dyDescent="0.3">
      <c r="A3" s="26" t="s">
        <v>291</v>
      </c>
      <c r="B3" s="26" t="s">
        <v>292</v>
      </c>
      <c r="C3" s="26" t="s">
        <v>293</v>
      </c>
      <c r="D3" s="26" t="s">
        <v>294</v>
      </c>
      <c r="E3" s="26" t="s">
        <v>295</v>
      </c>
      <c r="F3" s="26" t="s">
        <v>296</v>
      </c>
      <c r="G3" s="26" t="s">
        <v>297</v>
      </c>
      <c r="H3" s="26" t="s">
        <v>298</v>
      </c>
      <c r="I3" s="26" t="s">
        <v>299</v>
      </c>
      <c r="J3" s="26" t="s">
        <v>300</v>
      </c>
      <c r="K3" s="26" t="s">
        <v>301</v>
      </c>
      <c r="L3" s="26" t="s">
        <v>302</v>
      </c>
      <c r="M3" s="26" t="s">
        <v>303</v>
      </c>
      <c r="N3" s="26" t="s">
        <v>304</v>
      </c>
      <c r="O3" s="26" t="s">
        <v>305</v>
      </c>
      <c r="P3" s="26" t="s">
        <v>306</v>
      </c>
    </row>
    <row r="4" spans="1:16" x14ac:dyDescent="0.3">
      <c r="A4" s="43" t="s">
        <v>307</v>
      </c>
      <c r="B4" s="43" t="s">
        <v>308</v>
      </c>
      <c r="C4" s="43">
        <v>31</v>
      </c>
      <c r="D4" s="44">
        <v>29307800</v>
      </c>
      <c r="E4" s="43">
        <v>0</v>
      </c>
      <c r="F4" s="43">
        <v>0</v>
      </c>
      <c r="G4" s="44">
        <v>0</v>
      </c>
      <c r="H4" s="44">
        <v>0</v>
      </c>
      <c r="I4" s="44">
        <v>0</v>
      </c>
      <c r="J4" s="44">
        <v>0</v>
      </c>
      <c r="K4" s="45">
        <v>0</v>
      </c>
      <c r="L4" s="44">
        <v>192573.63</v>
      </c>
      <c r="M4" s="44">
        <v>29115226.370000001</v>
      </c>
      <c r="N4" s="45">
        <v>0.99339999999999995</v>
      </c>
      <c r="O4" s="45">
        <v>2.2082000000000001E-2</v>
      </c>
      <c r="P4" s="45">
        <v>0</v>
      </c>
    </row>
    <row r="5" spans="1:16" x14ac:dyDescent="0.3">
      <c r="A5" s="43" t="s">
        <v>307</v>
      </c>
      <c r="B5" s="43" t="s">
        <v>308</v>
      </c>
      <c r="C5" s="43">
        <v>31</v>
      </c>
      <c r="D5" s="44">
        <v>29307800</v>
      </c>
      <c r="E5" s="43">
        <v>1</v>
      </c>
      <c r="F5" s="43">
        <v>0</v>
      </c>
      <c r="G5" s="44">
        <v>1741.39</v>
      </c>
      <c r="H5" s="44">
        <v>959.79</v>
      </c>
      <c r="I5" s="44">
        <v>0</v>
      </c>
      <c r="J5" s="44">
        <v>959.79</v>
      </c>
      <c r="K5" s="45">
        <v>3.3000000000000003E-5</v>
      </c>
      <c r="L5" s="44">
        <v>291037.71000000002</v>
      </c>
      <c r="M5" s="44">
        <v>28663327.300000001</v>
      </c>
      <c r="N5" s="45">
        <v>0.97799999999999998</v>
      </c>
      <c r="O5" s="45">
        <v>1.9466000000000001E-2</v>
      </c>
      <c r="P5" s="45">
        <v>3.4E-5</v>
      </c>
    </row>
    <row r="6" spans="1:16" x14ac:dyDescent="0.3">
      <c r="A6" s="43" t="s">
        <v>307</v>
      </c>
      <c r="B6" s="43" t="s">
        <v>308</v>
      </c>
      <c r="C6" s="43">
        <v>31</v>
      </c>
      <c r="D6" s="44">
        <v>29307800</v>
      </c>
      <c r="E6" s="43">
        <v>2</v>
      </c>
      <c r="F6" s="43">
        <v>0</v>
      </c>
      <c r="G6" s="44">
        <v>6823.8</v>
      </c>
      <c r="H6" s="44">
        <v>4094.42</v>
      </c>
      <c r="I6" s="44">
        <v>0</v>
      </c>
      <c r="J6" s="44">
        <v>4094.42</v>
      </c>
      <c r="K6" s="45">
        <v>1.3999999999999999E-4</v>
      </c>
      <c r="L6" s="44">
        <v>459029.05</v>
      </c>
      <c r="M6" s="44">
        <v>28138559.949999999</v>
      </c>
      <c r="N6" s="45">
        <v>0.96009999999999995</v>
      </c>
      <c r="O6" s="45">
        <v>1.6764999999999999E-2</v>
      </c>
      <c r="P6" s="45">
        <v>1.2400000000000001E-4</v>
      </c>
    </row>
    <row r="7" spans="1:16" x14ac:dyDescent="0.3">
      <c r="A7" s="43" t="s">
        <v>307</v>
      </c>
      <c r="B7" s="43" t="s">
        <v>308</v>
      </c>
      <c r="C7" s="43">
        <v>31</v>
      </c>
      <c r="D7" s="44">
        <v>29307800</v>
      </c>
      <c r="E7" s="43">
        <v>3</v>
      </c>
      <c r="F7" s="43">
        <v>0</v>
      </c>
      <c r="G7" s="44">
        <v>12191.1</v>
      </c>
      <c r="H7" s="44">
        <v>7526.6</v>
      </c>
      <c r="I7" s="44">
        <v>0</v>
      </c>
      <c r="J7" s="44">
        <v>7526.6</v>
      </c>
      <c r="K7" s="45">
        <v>2.5700000000000001E-4</v>
      </c>
      <c r="L7" s="44">
        <v>565642.65</v>
      </c>
      <c r="M7" s="44">
        <v>27674885.449999999</v>
      </c>
      <c r="N7" s="45">
        <v>0.94430000000000003</v>
      </c>
      <c r="O7" s="45">
        <v>2.0178999999999999E-2</v>
      </c>
      <c r="P7" s="45">
        <v>1.1900000000000001E-4</v>
      </c>
    </row>
    <row r="8" spans="1:16" x14ac:dyDescent="0.3">
      <c r="A8" s="43" t="s">
        <v>307</v>
      </c>
      <c r="B8" s="43" t="s">
        <v>308</v>
      </c>
      <c r="C8" s="43">
        <v>31</v>
      </c>
      <c r="D8" s="44">
        <v>29307800</v>
      </c>
      <c r="E8" s="43">
        <v>4</v>
      </c>
      <c r="F8" s="43">
        <v>0</v>
      </c>
      <c r="G8" s="44">
        <v>22530.560000000001</v>
      </c>
      <c r="H8" s="44">
        <v>14124.94</v>
      </c>
      <c r="I8" s="44">
        <v>3762.69</v>
      </c>
      <c r="J8" s="44">
        <v>10362.25</v>
      </c>
      <c r="K8" s="45">
        <v>3.5399999999999999E-4</v>
      </c>
      <c r="L8" s="44">
        <v>658625.43999999994</v>
      </c>
      <c r="M8" s="44">
        <v>27219869.600000001</v>
      </c>
      <c r="N8" s="45">
        <v>0.92879999999999996</v>
      </c>
      <c r="O8" s="45">
        <v>2.4109999999999999E-2</v>
      </c>
      <c r="P8" s="45">
        <v>8.3999999999999995E-5</v>
      </c>
    </row>
    <row r="9" spans="1:16" x14ac:dyDescent="0.3">
      <c r="A9" s="43" t="s">
        <v>307</v>
      </c>
      <c r="B9" s="43" t="s">
        <v>308</v>
      </c>
      <c r="C9" s="43">
        <v>31</v>
      </c>
      <c r="D9" s="44">
        <v>29307800</v>
      </c>
      <c r="E9" s="43">
        <v>5</v>
      </c>
      <c r="F9" s="43">
        <v>0</v>
      </c>
      <c r="G9" s="44">
        <v>37506.870000000003</v>
      </c>
      <c r="H9" s="44">
        <v>23263.96</v>
      </c>
      <c r="I9" s="44">
        <v>8474.08</v>
      </c>
      <c r="J9" s="44">
        <v>14789.88</v>
      </c>
      <c r="K9" s="45">
        <v>5.0500000000000002E-4</v>
      </c>
      <c r="L9" s="44">
        <v>858909.87</v>
      </c>
      <c r="M9" s="44">
        <v>26652915.260000002</v>
      </c>
      <c r="N9" s="45">
        <v>0.90939999999999999</v>
      </c>
      <c r="O9" s="45">
        <v>2.5353000000000001E-2</v>
      </c>
      <c r="P9" s="45">
        <v>1.8699999999999999E-4</v>
      </c>
    </row>
    <row r="10" spans="1:16" x14ac:dyDescent="0.3">
      <c r="A10" s="43" t="s">
        <v>307</v>
      </c>
      <c r="B10" s="43" t="s">
        <v>308</v>
      </c>
      <c r="C10" s="43">
        <v>31</v>
      </c>
      <c r="D10" s="44">
        <v>29307800</v>
      </c>
      <c r="E10" s="43">
        <v>6</v>
      </c>
      <c r="F10" s="43">
        <v>0</v>
      </c>
      <c r="G10" s="44">
        <v>55686.8</v>
      </c>
      <c r="H10" s="44">
        <v>35057.019999999997</v>
      </c>
      <c r="I10" s="44">
        <v>16791.12</v>
      </c>
      <c r="J10" s="44">
        <v>18265.900000000001</v>
      </c>
      <c r="K10" s="45">
        <v>6.2299999999999996E-4</v>
      </c>
      <c r="L10" s="44">
        <v>1012261.07</v>
      </c>
      <c r="M10" s="44">
        <v>26129690.539999999</v>
      </c>
      <c r="N10" s="45">
        <v>0.89159999999999995</v>
      </c>
      <c r="O10" s="45">
        <v>2.2501E-2</v>
      </c>
      <c r="P10" s="45">
        <v>1.64E-4</v>
      </c>
    </row>
    <row r="11" spans="1:16" x14ac:dyDescent="0.3">
      <c r="A11" s="43" t="s">
        <v>307</v>
      </c>
      <c r="B11" s="43" t="s">
        <v>308</v>
      </c>
      <c r="C11" s="43">
        <v>31</v>
      </c>
      <c r="D11" s="44">
        <v>29307800</v>
      </c>
      <c r="E11" s="43">
        <v>7</v>
      </c>
      <c r="F11" s="43">
        <v>0</v>
      </c>
      <c r="G11" s="44">
        <v>78784.11</v>
      </c>
      <c r="H11" s="44">
        <v>51967.519999999997</v>
      </c>
      <c r="I11" s="44">
        <v>27092.16</v>
      </c>
      <c r="J11" s="44">
        <v>24875.360000000001</v>
      </c>
      <c r="K11" s="45">
        <v>8.4900000000000004E-4</v>
      </c>
      <c r="L11" s="44">
        <v>1113966.32</v>
      </c>
      <c r="M11" s="44">
        <v>25653194.370000001</v>
      </c>
      <c r="N11" s="45">
        <v>0.87529999999999997</v>
      </c>
      <c r="O11" s="45">
        <v>2.7057999999999999E-2</v>
      </c>
      <c r="P11" s="45">
        <v>1.9599999999999999E-4</v>
      </c>
    </row>
    <row r="12" spans="1:16" x14ac:dyDescent="0.3">
      <c r="A12" s="43" t="s">
        <v>307</v>
      </c>
      <c r="B12" s="43" t="s">
        <v>308</v>
      </c>
      <c r="C12" s="43">
        <v>31</v>
      </c>
      <c r="D12" s="44">
        <v>29307800</v>
      </c>
      <c r="E12" s="43">
        <v>8</v>
      </c>
      <c r="F12" s="43">
        <v>0</v>
      </c>
      <c r="G12" s="44">
        <v>100285.44</v>
      </c>
      <c r="H12" s="44">
        <v>65045.95</v>
      </c>
      <c r="I12" s="44">
        <v>35149.050000000003</v>
      </c>
      <c r="J12" s="44">
        <v>29896.9</v>
      </c>
      <c r="K12" s="45">
        <v>1.0200000000000001E-3</v>
      </c>
      <c r="L12" s="44">
        <v>1398547.55</v>
      </c>
      <c r="M12" s="44">
        <v>24995418.210000001</v>
      </c>
      <c r="N12" s="45">
        <v>0.85289999999999999</v>
      </c>
      <c r="O12" s="45">
        <v>2.4220999999999999E-2</v>
      </c>
      <c r="P12" s="45">
        <v>1.9599999999999999E-4</v>
      </c>
    </row>
    <row r="13" spans="1:16" x14ac:dyDescent="0.3">
      <c r="A13" s="43" t="s">
        <v>307</v>
      </c>
      <c r="B13" s="43" t="s">
        <v>308</v>
      </c>
      <c r="C13" s="43">
        <v>31</v>
      </c>
      <c r="D13" s="44">
        <v>29307800</v>
      </c>
      <c r="E13" s="43">
        <v>9</v>
      </c>
      <c r="F13" s="43">
        <v>0</v>
      </c>
      <c r="G13" s="44">
        <v>121369.36</v>
      </c>
      <c r="H13" s="44">
        <v>78551.39</v>
      </c>
      <c r="I13" s="44">
        <v>43707.86</v>
      </c>
      <c r="J13" s="44">
        <v>34843.54</v>
      </c>
      <c r="K13" s="45">
        <v>1.189E-3</v>
      </c>
      <c r="L13" s="44">
        <v>1526114.48</v>
      </c>
      <c r="M13" s="44">
        <v>24495073.760000002</v>
      </c>
      <c r="N13" s="45">
        <v>0.83579999999999999</v>
      </c>
      <c r="O13" s="45">
        <v>2.4806000000000002E-2</v>
      </c>
      <c r="P13" s="45">
        <v>2.4000000000000001E-4</v>
      </c>
    </row>
    <row r="14" spans="1:16" x14ac:dyDescent="0.3">
      <c r="A14" s="43" t="s">
        <v>307</v>
      </c>
      <c r="B14" s="43" t="s">
        <v>308</v>
      </c>
      <c r="C14" s="43">
        <v>31</v>
      </c>
      <c r="D14" s="44">
        <v>29307800</v>
      </c>
      <c r="E14" s="43">
        <v>10</v>
      </c>
      <c r="F14" s="43">
        <v>0</v>
      </c>
      <c r="G14" s="44">
        <v>159206.5</v>
      </c>
      <c r="H14" s="44">
        <v>104894.65</v>
      </c>
      <c r="I14" s="44">
        <v>56898</v>
      </c>
      <c r="J14" s="44">
        <v>47996.65</v>
      </c>
      <c r="K14" s="45">
        <v>1.6379999999999999E-3</v>
      </c>
      <c r="L14" s="44">
        <v>1736078.99</v>
      </c>
      <c r="M14" s="44">
        <v>23895578.510000002</v>
      </c>
      <c r="N14" s="45">
        <v>0.81530000000000002</v>
      </c>
      <c r="O14" s="45">
        <v>1.9893999999999998E-2</v>
      </c>
      <c r="P14" s="45">
        <v>2.7399999999999999E-4</v>
      </c>
    </row>
    <row r="15" spans="1:16" x14ac:dyDescent="0.3">
      <c r="A15" s="43" t="s">
        <v>307</v>
      </c>
      <c r="B15" s="43" t="s">
        <v>308</v>
      </c>
      <c r="C15" s="43">
        <v>31</v>
      </c>
      <c r="D15" s="44">
        <v>29307800</v>
      </c>
      <c r="E15" s="43">
        <v>11</v>
      </c>
      <c r="F15" s="43">
        <v>0</v>
      </c>
      <c r="G15" s="44">
        <v>193510.86</v>
      </c>
      <c r="H15" s="44">
        <v>126470.08</v>
      </c>
      <c r="I15" s="44">
        <v>69361.850000000006</v>
      </c>
      <c r="J15" s="44">
        <v>57108.24</v>
      </c>
      <c r="K15" s="45">
        <v>1.949E-3</v>
      </c>
      <c r="L15" s="44">
        <v>2014759.39</v>
      </c>
      <c r="M15" s="44">
        <v>23230900.149999999</v>
      </c>
      <c r="N15" s="45">
        <v>0.79269999999999996</v>
      </c>
      <c r="O15" s="45">
        <v>2.2669000000000002E-2</v>
      </c>
      <c r="P15" s="45">
        <v>3.8900000000000002E-4</v>
      </c>
    </row>
    <row r="16" spans="1:16" x14ac:dyDescent="0.3">
      <c r="A16" s="43" t="s">
        <v>307</v>
      </c>
      <c r="B16" s="43" t="s">
        <v>308</v>
      </c>
      <c r="C16" s="43">
        <v>31</v>
      </c>
      <c r="D16" s="44">
        <v>29307800</v>
      </c>
      <c r="E16" s="43">
        <v>12</v>
      </c>
      <c r="F16" s="43">
        <v>0</v>
      </c>
      <c r="G16" s="44">
        <v>219413.47</v>
      </c>
      <c r="H16" s="44">
        <v>145113.25</v>
      </c>
      <c r="I16" s="44">
        <v>80397.09</v>
      </c>
      <c r="J16" s="44">
        <v>64716.160000000003</v>
      </c>
      <c r="K16" s="45">
        <v>2.2079999999999999E-3</v>
      </c>
      <c r="L16" s="44">
        <v>2289593.77</v>
      </c>
      <c r="M16" s="44">
        <v>22578469.559999999</v>
      </c>
      <c r="N16" s="45">
        <v>0.77039999999999997</v>
      </c>
      <c r="O16" s="45">
        <v>2.6838000000000001E-2</v>
      </c>
      <c r="P16" s="45">
        <v>2.52E-4</v>
      </c>
    </row>
    <row r="17" spans="1:16" x14ac:dyDescent="0.3">
      <c r="A17" s="43" t="s">
        <v>307</v>
      </c>
      <c r="B17" s="43" t="s">
        <v>308</v>
      </c>
      <c r="C17" s="43">
        <v>31</v>
      </c>
      <c r="D17" s="44">
        <v>29307800</v>
      </c>
      <c r="E17" s="43">
        <v>13</v>
      </c>
      <c r="F17" s="43">
        <v>0</v>
      </c>
      <c r="G17" s="44">
        <v>257930.64</v>
      </c>
      <c r="H17" s="44">
        <v>172412.48</v>
      </c>
      <c r="I17" s="44">
        <v>92471.17</v>
      </c>
      <c r="J17" s="44">
        <v>79941.31</v>
      </c>
      <c r="K17" s="45">
        <v>2.728E-3</v>
      </c>
      <c r="L17" s="44">
        <v>2443085.08</v>
      </c>
      <c r="M17" s="44">
        <v>22034767.469999999</v>
      </c>
      <c r="N17" s="45">
        <v>0.75180000000000002</v>
      </c>
      <c r="O17" s="45">
        <v>2.0848999999999999E-2</v>
      </c>
      <c r="P17" s="45">
        <v>5.2700000000000002E-4</v>
      </c>
    </row>
    <row r="18" spans="1:16" x14ac:dyDescent="0.3">
      <c r="A18" s="43" t="s">
        <v>307</v>
      </c>
      <c r="B18" s="43" t="s">
        <v>308</v>
      </c>
      <c r="C18" s="43">
        <v>31</v>
      </c>
      <c r="D18" s="44">
        <v>29307800</v>
      </c>
      <c r="E18" s="43">
        <v>14</v>
      </c>
      <c r="F18" s="43">
        <v>0</v>
      </c>
      <c r="G18" s="44">
        <v>310887.21000000002</v>
      </c>
      <c r="H18" s="44">
        <v>206870.05</v>
      </c>
      <c r="I18" s="44">
        <v>115984.32000000001</v>
      </c>
      <c r="J18" s="44">
        <v>90885.73</v>
      </c>
      <c r="K18" s="45">
        <v>3.101E-3</v>
      </c>
      <c r="L18" s="44">
        <v>2694687.37</v>
      </c>
      <c r="M18" s="44">
        <v>21378515.02</v>
      </c>
      <c r="N18" s="45">
        <v>0.72940000000000005</v>
      </c>
      <c r="O18" s="45">
        <v>2.2350999999999999E-2</v>
      </c>
      <c r="P18" s="45">
        <v>3.3199999999999999E-4</v>
      </c>
    </row>
    <row r="19" spans="1:16" x14ac:dyDescent="0.3">
      <c r="A19" s="43" t="s">
        <v>307</v>
      </c>
      <c r="B19" s="43" t="s">
        <v>308</v>
      </c>
      <c r="C19" s="43">
        <v>31</v>
      </c>
      <c r="D19" s="44">
        <v>29307800</v>
      </c>
      <c r="E19" s="43">
        <v>15</v>
      </c>
      <c r="F19" s="43">
        <v>0</v>
      </c>
      <c r="G19" s="44">
        <v>351457.97</v>
      </c>
      <c r="H19" s="44">
        <v>235291.8</v>
      </c>
      <c r="I19" s="44">
        <v>132562.65</v>
      </c>
      <c r="J19" s="44">
        <v>102729.15</v>
      </c>
      <c r="K19" s="45">
        <v>3.5049999999999999E-3</v>
      </c>
      <c r="L19" s="44">
        <v>2872825.73</v>
      </c>
      <c r="M19" s="44">
        <v>20808112.300000001</v>
      </c>
      <c r="N19" s="45">
        <v>0.71</v>
      </c>
      <c r="O19" s="45">
        <v>2.4229000000000001E-2</v>
      </c>
      <c r="P19" s="45">
        <v>3.21E-4</v>
      </c>
    </row>
    <row r="20" spans="1:16" x14ac:dyDescent="0.3">
      <c r="A20" s="43" t="s">
        <v>307</v>
      </c>
      <c r="B20" s="43" t="s">
        <v>308</v>
      </c>
      <c r="C20" s="43">
        <v>31</v>
      </c>
      <c r="D20" s="44">
        <v>29307800</v>
      </c>
      <c r="E20" s="43">
        <v>16</v>
      </c>
      <c r="F20" s="43">
        <v>0</v>
      </c>
      <c r="G20" s="44">
        <v>405093.3</v>
      </c>
      <c r="H20" s="44">
        <v>275274.93</v>
      </c>
      <c r="I20" s="44">
        <v>157127.45000000001</v>
      </c>
      <c r="J20" s="44">
        <v>118147.48</v>
      </c>
      <c r="K20" s="45">
        <v>4.0309999999999999E-3</v>
      </c>
      <c r="L20" s="44">
        <v>3045461.42</v>
      </c>
      <c r="M20" s="44">
        <v>20230147.68</v>
      </c>
      <c r="N20" s="45">
        <v>0.69030000000000002</v>
      </c>
      <c r="O20" s="45">
        <v>2.5735999999999998E-2</v>
      </c>
      <c r="P20" s="45">
        <v>3.1700000000000001E-4</v>
      </c>
    </row>
    <row r="21" spans="1:16" x14ac:dyDescent="0.3">
      <c r="A21" s="43" t="s">
        <v>307</v>
      </c>
      <c r="B21" s="43" t="s">
        <v>308</v>
      </c>
      <c r="C21" s="43">
        <v>31</v>
      </c>
      <c r="D21" s="44">
        <v>29307800</v>
      </c>
      <c r="E21" s="43">
        <v>17</v>
      </c>
      <c r="F21" s="43">
        <v>0</v>
      </c>
      <c r="G21" s="44">
        <v>467423.79</v>
      </c>
      <c r="H21" s="44">
        <v>320175.59000000003</v>
      </c>
      <c r="I21" s="44">
        <v>184519.36</v>
      </c>
      <c r="J21" s="44">
        <v>135656.23000000001</v>
      </c>
      <c r="K21" s="45">
        <v>4.6290000000000003E-3</v>
      </c>
      <c r="L21" s="44">
        <v>3279196.89</v>
      </c>
      <c r="M21" s="44">
        <v>19582388.120000001</v>
      </c>
      <c r="N21" s="45">
        <v>0.66820000000000002</v>
      </c>
      <c r="O21" s="45">
        <v>2.7067999999999998E-2</v>
      </c>
      <c r="P21" s="45">
        <v>3.4299999999999999E-4</v>
      </c>
    </row>
    <row r="22" spans="1:16" x14ac:dyDescent="0.3">
      <c r="A22" s="43" t="s">
        <v>307</v>
      </c>
      <c r="B22" s="43" t="s">
        <v>308</v>
      </c>
      <c r="C22" s="43">
        <v>31</v>
      </c>
      <c r="D22" s="44">
        <v>29307800</v>
      </c>
      <c r="E22" s="43">
        <v>18</v>
      </c>
      <c r="F22" s="43">
        <v>0</v>
      </c>
      <c r="G22" s="44">
        <v>540717.48</v>
      </c>
      <c r="H22" s="44">
        <v>360839.32</v>
      </c>
      <c r="I22" s="44">
        <v>219358.9</v>
      </c>
      <c r="J22" s="44">
        <v>141480.42000000001</v>
      </c>
      <c r="K22" s="45">
        <v>4.8269999999999997E-3</v>
      </c>
      <c r="L22" s="44">
        <v>3576800.06</v>
      </c>
      <c r="M22" s="44">
        <v>18859797.66</v>
      </c>
      <c r="N22" s="45">
        <v>0.64349999999999996</v>
      </c>
      <c r="O22" s="45">
        <v>3.0853999999999999E-2</v>
      </c>
      <c r="P22" s="45">
        <v>6.4499999999999996E-4</v>
      </c>
    </row>
    <row r="23" spans="1:16" x14ac:dyDescent="0.3">
      <c r="A23" s="43" t="s">
        <v>307</v>
      </c>
      <c r="B23" s="43" t="s">
        <v>308</v>
      </c>
      <c r="C23" s="43">
        <v>31</v>
      </c>
      <c r="D23" s="44">
        <v>29307800</v>
      </c>
      <c r="E23" s="43">
        <v>19</v>
      </c>
      <c r="F23" s="43">
        <v>0</v>
      </c>
      <c r="G23" s="44">
        <v>612459.34</v>
      </c>
      <c r="H23" s="44">
        <v>409216.75</v>
      </c>
      <c r="I23" s="44">
        <v>253322.74</v>
      </c>
      <c r="J23" s="44">
        <v>155894</v>
      </c>
      <c r="K23" s="45">
        <v>5.3189999999999999E-3</v>
      </c>
      <c r="L23" s="44">
        <v>3754539.85</v>
      </c>
      <c r="M23" s="44">
        <v>18258622.41</v>
      </c>
      <c r="N23" s="45">
        <v>0.623</v>
      </c>
      <c r="O23" s="45">
        <v>2.8969000000000002E-2</v>
      </c>
      <c r="P23" s="45">
        <v>2.33E-4</v>
      </c>
    </row>
    <row r="24" spans="1:16" x14ac:dyDescent="0.3">
      <c r="A24" s="43" t="s">
        <v>307</v>
      </c>
      <c r="B24" s="43" t="s">
        <v>308</v>
      </c>
      <c r="C24" s="43">
        <v>31</v>
      </c>
      <c r="D24" s="44">
        <v>29307800</v>
      </c>
      <c r="E24" s="43">
        <v>20</v>
      </c>
      <c r="F24" s="43">
        <v>0</v>
      </c>
      <c r="G24" s="44">
        <v>669278.53</v>
      </c>
      <c r="H24" s="44">
        <v>440477.7</v>
      </c>
      <c r="I24" s="44">
        <v>277790.03999999998</v>
      </c>
      <c r="J24" s="44">
        <v>162687.65</v>
      </c>
      <c r="K24" s="45">
        <v>5.5510000000000004E-3</v>
      </c>
      <c r="L24" s="44">
        <v>4145248.9</v>
      </c>
      <c r="M24" s="44">
        <v>17459400.559999999</v>
      </c>
      <c r="N24" s="45">
        <v>0.59570000000000001</v>
      </c>
      <c r="O24" s="45">
        <v>2.2748999999999998E-2</v>
      </c>
      <c r="P24" s="45">
        <v>3.6000000000000002E-4</v>
      </c>
    </row>
    <row r="25" spans="1:16" x14ac:dyDescent="0.3">
      <c r="A25" s="43" t="s">
        <v>307</v>
      </c>
      <c r="B25" s="43" t="s">
        <v>308</v>
      </c>
      <c r="C25" s="43">
        <v>31</v>
      </c>
      <c r="D25" s="44">
        <v>29307800</v>
      </c>
      <c r="E25" s="43">
        <v>21</v>
      </c>
      <c r="F25" s="43">
        <v>0</v>
      </c>
      <c r="G25" s="44">
        <v>733803.71</v>
      </c>
      <c r="H25" s="44">
        <v>485109.53</v>
      </c>
      <c r="I25" s="44">
        <v>303994.96000000002</v>
      </c>
      <c r="J25" s="44">
        <v>181114.57</v>
      </c>
      <c r="K25" s="45">
        <v>6.1799999999999997E-3</v>
      </c>
      <c r="L25" s="44">
        <v>4483872.2</v>
      </c>
      <c r="M25" s="44">
        <v>16704558.48</v>
      </c>
      <c r="N25" s="45">
        <v>0.56999999999999995</v>
      </c>
      <c r="O25" s="45">
        <v>2.2599999999999999E-2</v>
      </c>
      <c r="P25" s="45">
        <v>7.0299999999999996E-4</v>
      </c>
    </row>
    <row r="26" spans="1:16" x14ac:dyDescent="0.3">
      <c r="A26" s="43" t="s">
        <v>307</v>
      </c>
      <c r="B26" s="43" t="s">
        <v>308</v>
      </c>
      <c r="C26" s="43">
        <v>31</v>
      </c>
      <c r="D26" s="44">
        <v>29307800</v>
      </c>
      <c r="E26" s="43">
        <v>22</v>
      </c>
      <c r="F26" s="43">
        <v>0</v>
      </c>
      <c r="G26" s="44">
        <v>797126.62</v>
      </c>
      <c r="H26" s="44">
        <v>520389.53</v>
      </c>
      <c r="I26" s="44">
        <v>331083.51</v>
      </c>
      <c r="J26" s="44">
        <v>189306.02</v>
      </c>
      <c r="K26" s="45">
        <v>6.4590000000000003E-3</v>
      </c>
      <c r="L26" s="44">
        <v>4837556.9800000004</v>
      </c>
      <c r="M26" s="44">
        <v>15935857.199999999</v>
      </c>
      <c r="N26" s="45">
        <v>0.54369999999999996</v>
      </c>
      <c r="O26" s="45">
        <v>2.4885999999999998E-2</v>
      </c>
      <c r="P26" s="45">
        <v>2.9399999999999999E-4</v>
      </c>
    </row>
    <row r="27" spans="1:16" x14ac:dyDescent="0.3">
      <c r="A27" s="43" t="s">
        <v>307</v>
      </c>
      <c r="B27" s="43" t="s">
        <v>308</v>
      </c>
      <c r="C27" s="43">
        <v>31</v>
      </c>
      <c r="D27" s="44">
        <v>29307800</v>
      </c>
      <c r="E27" s="43">
        <v>23</v>
      </c>
      <c r="F27" s="43">
        <v>0</v>
      </c>
      <c r="G27" s="44">
        <v>851999.45</v>
      </c>
      <c r="H27" s="44">
        <v>554300.18000000005</v>
      </c>
      <c r="I27" s="44">
        <v>351997.38</v>
      </c>
      <c r="J27" s="44">
        <v>202302.8</v>
      </c>
      <c r="K27" s="45">
        <v>6.9030000000000003E-3</v>
      </c>
      <c r="L27" s="44">
        <v>5243374.8</v>
      </c>
      <c r="M27" s="44">
        <v>15123472.949999999</v>
      </c>
      <c r="N27" s="45">
        <v>0.51600000000000001</v>
      </c>
      <c r="O27" s="45">
        <v>2.9537999999999998E-2</v>
      </c>
      <c r="P27" s="45">
        <v>6.2799999999999998E-4</v>
      </c>
    </row>
    <row r="28" spans="1:16" x14ac:dyDescent="0.3">
      <c r="A28" s="43" t="s">
        <v>307</v>
      </c>
      <c r="B28" s="43" t="s">
        <v>308</v>
      </c>
      <c r="C28" s="43">
        <v>31</v>
      </c>
      <c r="D28" s="44">
        <v>29307800</v>
      </c>
      <c r="E28" s="43">
        <v>24</v>
      </c>
      <c r="F28" s="43">
        <v>0</v>
      </c>
      <c r="G28" s="44">
        <v>918966.52</v>
      </c>
      <c r="H28" s="44">
        <v>595287.97</v>
      </c>
      <c r="I28" s="44">
        <v>378985.8</v>
      </c>
      <c r="J28" s="44">
        <v>216302.17</v>
      </c>
      <c r="K28" s="45">
        <v>7.3800000000000003E-3</v>
      </c>
      <c r="L28" s="44">
        <v>5453946.8499999996</v>
      </c>
      <c r="M28" s="44">
        <v>14494240.23</v>
      </c>
      <c r="N28" s="45">
        <v>0.49459999999999998</v>
      </c>
      <c r="O28" s="45">
        <v>2.6197000000000002E-2</v>
      </c>
      <c r="P28" s="45">
        <v>5.6700000000000001E-4</v>
      </c>
    </row>
    <row r="29" spans="1:16" x14ac:dyDescent="0.3">
      <c r="A29" s="43" t="s">
        <v>307</v>
      </c>
      <c r="B29" s="43" t="s">
        <v>308</v>
      </c>
      <c r="C29" s="43">
        <v>31</v>
      </c>
      <c r="D29" s="44">
        <v>29307800</v>
      </c>
      <c r="E29" s="43">
        <v>25</v>
      </c>
      <c r="F29" s="43">
        <v>0</v>
      </c>
      <c r="G29" s="44">
        <v>985683.98</v>
      </c>
      <c r="H29" s="44">
        <v>636222.61</v>
      </c>
      <c r="I29" s="44">
        <v>411306.07</v>
      </c>
      <c r="J29" s="44">
        <v>224916.55</v>
      </c>
      <c r="K29" s="45">
        <v>7.6740000000000003E-3</v>
      </c>
      <c r="L29" s="44">
        <v>5756986.0899999999</v>
      </c>
      <c r="M29" s="44">
        <v>13772789.93</v>
      </c>
      <c r="N29" s="45">
        <v>0.46989999999999998</v>
      </c>
      <c r="O29" s="45">
        <v>2.6152000000000002E-2</v>
      </c>
      <c r="P29" s="45">
        <v>1.9900000000000001E-4</v>
      </c>
    </row>
    <row r="30" spans="1:16" x14ac:dyDescent="0.3">
      <c r="A30" s="43" t="s">
        <v>307</v>
      </c>
      <c r="B30" s="43" t="s">
        <v>308</v>
      </c>
      <c r="C30" s="43">
        <v>31</v>
      </c>
      <c r="D30" s="44">
        <v>29307800</v>
      </c>
      <c r="E30" s="43">
        <v>26</v>
      </c>
      <c r="F30" s="43">
        <v>0</v>
      </c>
      <c r="G30" s="44">
        <v>1056918.03</v>
      </c>
      <c r="H30" s="44">
        <v>675931.35</v>
      </c>
      <c r="I30" s="44">
        <v>433975.74</v>
      </c>
      <c r="J30" s="44">
        <v>241955.61</v>
      </c>
      <c r="K30" s="45">
        <v>8.2559999999999995E-3</v>
      </c>
      <c r="L30" s="44">
        <v>6187198.46</v>
      </c>
      <c r="M30" s="44">
        <v>12919649.91</v>
      </c>
      <c r="N30" s="45">
        <v>0.44080000000000003</v>
      </c>
      <c r="O30" s="45">
        <v>3.2551999999999998E-2</v>
      </c>
      <c r="P30" s="45">
        <v>9.4700000000000003E-4</v>
      </c>
    </row>
    <row r="31" spans="1:16" x14ac:dyDescent="0.3">
      <c r="A31" s="43" t="s">
        <v>307</v>
      </c>
      <c r="B31" s="43" t="s">
        <v>308</v>
      </c>
      <c r="C31" s="43">
        <v>31</v>
      </c>
      <c r="D31" s="44">
        <v>29307800</v>
      </c>
      <c r="E31" s="43">
        <v>27</v>
      </c>
      <c r="F31" s="43">
        <v>0</v>
      </c>
      <c r="G31" s="44">
        <v>1123079.6200000001</v>
      </c>
      <c r="H31" s="44">
        <v>715022.34</v>
      </c>
      <c r="I31" s="44">
        <v>463006.32</v>
      </c>
      <c r="J31" s="44">
        <v>252016.02</v>
      </c>
      <c r="K31" s="45">
        <v>8.5990000000000007E-3</v>
      </c>
      <c r="L31" s="44">
        <v>6534249.75</v>
      </c>
      <c r="M31" s="44">
        <v>12154743.43</v>
      </c>
      <c r="N31" s="45">
        <v>0.41470000000000001</v>
      </c>
      <c r="O31" s="45">
        <v>3.1016999999999999E-2</v>
      </c>
      <c r="P31" s="45">
        <v>4.4799999999999999E-4</v>
      </c>
    </row>
    <row r="32" spans="1:16" x14ac:dyDescent="0.3">
      <c r="A32" s="43" t="s">
        <v>307</v>
      </c>
      <c r="B32" s="43" t="s">
        <v>308</v>
      </c>
      <c r="C32" s="43">
        <v>31</v>
      </c>
      <c r="D32" s="44">
        <v>29307800</v>
      </c>
      <c r="E32" s="43">
        <v>28</v>
      </c>
      <c r="F32" s="43">
        <v>0</v>
      </c>
      <c r="G32" s="44">
        <v>1184150.72</v>
      </c>
      <c r="H32" s="44">
        <v>753770.67</v>
      </c>
      <c r="I32" s="44">
        <v>493309.22</v>
      </c>
      <c r="J32" s="44">
        <v>260461.45</v>
      </c>
      <c r="K32" s="45">
        <v>8.8870000000000008E-3</v>
      </c>
      <c r="L32" s="44">
        <v>6844712.7199999997</v>
      </c>
      <c r="M32" s="44">
        <v>11431515.76</v>
      </c>
      <c r="N32" s="45">
        <v>0.3901</v>
      </c>
      <c r="O32" s="45">
        <v>2.5184999999999999E-2</v>
      </c>
      <c r="P32" s="45">
        <v>3.5E-4</v>
      </c>
    </row>
    <row r="33" spans="1:16" x14ac:dyDescent="0.3">
      <c r="A33" s="43" t="s">
        <v>307</v>
      </c>
      <c r="B33" s="43" t="s">
        <v>308</v>
      </c>
      <c r="C33" s="43">
        <v>31</v>
      </c>
      <c r="D33" s="44">
        <v>29307800</v>
      </c>
      <c r="E33" s="43">
        <v>29</v>
      </c>
      <c r="F33" s="43">
        <v>0</v>
      </c>
      <c r="G33" s="44">
        <v>1252271.1000000001</v>
      </c>
      <c r="H33" s="44">
        <v>800283.21</v>
      </c>
      <c r="I33" s="44">
        <v>523770.52</v>
      </c>
      <c r="J33" s="44">
        <v>276512.69</v>
      </c>
      <c r="K33" s="45">
        <v>9.4350000000000007E-3</v>
      </c>
      <c r="L33" s="44">
        <v>7159016.9800000004</v>
      </c>
      <c r="M33" s="44">
        <v>10697397.52</v>
      </c>
      <c r="N33" s="45">
        <v>0.36499999999999999</v>
      </c>
      <c r="O33" s="45">
        <v>2.6265E-2</v>
      </c>
      <c r="P33" s="45">
        <v>2.7E-4</v>
      </c>
    </row>
    <row r="34" spans="1:16" x14ac:dyDescent="0.3">
      <c r="A34" s="43" t="s">
        <v>307</v>
      </c>
      <c r="B34" s="43" t="s">
        <v>308</v>
      </c>
      <c r="C34" s="43">
        <v>31</v>
      </c>
      <c r="D34" s="44">
        <v>29307800</v>
      </c>
      <c r="E34" s="43">
        <v>30</v>
      </c>
      <c r="F34" s="43">
        <v>0</v>
      </c>
      <c r="G34" s="44">
        <v>1335911.93</v>
      </c>
      <c r="H34" s="44">
        <v>849754.74</v>
      </c>
      <c r="I34" s="44">
        <v>554430.56000000006</v>
      </c>
      <c r="J34" s="44">
        <v>295324.18</v>
      </c>
      <c r="K34" s="45">
        <v>1.0076999999999999E-2</v>
      </c>
      <c r="L34" s="44">
        <v>7617642.3200000003</v>
      </c>
      <c r="M34" s="44">
        <v>9803437.7400000002</v>
      </c>
      <c r="N34" s="45">
        <v>0.33450000000000002</v>
      </c>
      <c r="O34" s="45">
        <v>2.6896E-2</v>
      </c>
      <c r="P34" s="45">
        <v>7.27E-4</v>
      </c>
    </row>
    <row r="35" spans="1:16" x14ac:dyDescent="0.3">
      <c r="A35" s="43" t="s">
        <v>307</v>
      </c>
      <c r="B35" s="43" t="s">
        <v>308</v>
      </c>
      <c r="C35" s="43">
        <v>31</v>
      </c>
      <c r="D35" s="44">
        <v>29307800</v>
      </c>
      <c r="E35" s="43">
        <v>31</v>
      </c>
      <c r="F35" s="43">
        <v>0</v>
      </c>
      <c r="G35" s="44">
        <v>1394103.57</v>
      </c>
      <c r="H35" s="44">
        <v>883505.32</v>
      </c>
      <c r="I35" s="44">
        <v>576799.22</v>
      </c>
      <c r="J35" s="44">
        <v>306706.11</v>
      </c>
      <c r="K35" s="45">
        <v>1.0465E-2</v>
      </c>
      <c r="L35" s="44">
        <v>7909118.1799999997</v>
      </c>
      <c r="M35" s="44">
        <v>9102076.6500000004</v>
      </c>
      <c r="N35" s="45">
        <v>0.31059999999999999</v>
      </c>
      <c r="O35" s="45">
        <v>2.903E-2</v>
      </c>
      <c r="P35" s="45">
        <v>4.7399999999999997E-4</v>
      </c>
    </row>
    <row r="36" spans="1:16" x14ac:dyDescent="0.3">
      <c r="A36" s="43" t="s">
        <v>307</v>
      </c>
      <c r="B36" s="43" t="s">
        <v>308</v>
      </c>
      <c r="C36" s="43">
        <v>31</v>
      </c>
      <c r="D36" s="44">
        <v>29307800</v>
      </c>
      <c r="E36" s="43">
        <v>32</v>
      </c>
      <c r="F36" s="43">
        <v>0</v>
      </c>
      <c r="G36" s="44">
        <v>1440587.51</v>
      </c>
      <c r="H36" s="44">
        <v>913805.23</v>
      </c>
      <c r="I36" s="44">
        <v>596844.34</v>
      </c>
      <c r="J36" s="44">
        <v>316960.89</v>
      </c>
      <c r="K36" s="45">
        <v>1.0815E-2</v>
      </c>
      <c r="L36" s="44">
        <v>8306037.4199999999</v>
      </c>
      <c r="M36" s="44">
        <v>8306979.8700000001</v>
      </c>
      <c r="N36" s="45">
        <v>0.28339999999999999</v>
      </c>
      <c r="O36" s="45">
        <v>2.8490000000000001E-2</v>
      </c>
      <c r="P36" s="45">
        <v>3.1100000000000002E-4</v>
      </c>
    </row>
    <row r="37" spans="1:16" x14ac:dyDescent="0.3">
      <c r="A37" s="43" t="s">
        <v>307</v>
      </c>
      <c r="B37" s="43" t="s">
        <v>308</v>
      </c>
      <c r="C37" s="43">
        <v>31</v>
      </c>
      <c r="D37" s="44">
        <v>29307800</v>
      </c>
      <c r="E37" s="43">
        <v>33</v>
      </c>
      <c r="F37" s="43">
        <v>0</v>
      </c>
      <c r="G37" s="44">
        <v>1499031.03</v>
      </c>
      <c r="H37" s="44">
        <v>949866.64</v>
      </c>
      <c r="I37" s="44">
        <v>624960.59</v>
      </c>
      <c r="J37" s="44">
        <v>324906.05</v>
      </c>
      <c r="K37" s="45">
        <v>1.1086E-2</v>
      </c>
      <c r="L37" s="44">
        <v>8681673.8200000003</v>
      </c>
      <c r="M37" s="44">
        <v>7521206.3499999996</v>
      </c>
      <c r="N37" s="45">
        <v>0.25659999999999999</v>
      </c>
      <c r="O37" s="45">
        <v>2.6433000000000002E-2</v>
      </c>
      <c r="P37" s="45">
        <v>4.0900000000000002E-4</v>
      </c>
    </row>
    <row r="38" spans="1:16" x14ac:dyDescent="0.3">
      <c r="A38" s="43" t="s">
        <v>307</v>
      </c>
      <c r="B38" s="43" t="s">
        <v>308</v>
      </c>
      <c r="C38" s="43">
        <v>31</v>
      </c>
      <c r="D38" s="44">
        <v>29307800</v>
      </c>
      <c r="E38" s="43">
        <v>34</v>
      </c>
      <c r="F38" s="43">
        <v>0</v>
      </c>
      <c r="G38" s="44">
        <v>1551832.95</v>
      </c>
      <c r="H38" s="44">
        <v>985294.12</v>
      </c>
      <c r="I38" s="44">
        <v>645292.74</v>
      </c>
      <c r="J38" s="44">
        <v>340001.38</v>
      </c>
      <c r="K38" s="45">
        <v>1.1601E-2</v>
      </c>
      <c r="L38" s="44">
        <v>9010256.3800000008</v>
      </c>
      <c r="M38" s="44">
        <v>6788128.2800000003</v>
      </c>
      <c r="N38" s="45">
        <v>0.2316</v>
      </c>
      <c r="O38" s="45">
        <v>2.8413999999999998E-2</v>
      </c>
      <c r="P38" s="45">
        <v>5.9100000000000005E-4</v>
      </c>
    </row>
    <row r="39" spans="1:16" x14ac:dyDescent="0.3">
      <c r="A39" s="43" t="s">
        <v>307</v>
      </c>
      <c r="B39" s="43" t="s">
        <v>308</v>
      </c>
      <c r="C39" s="43">
        <v>31</v>
      </c>
      <c r="D39" s="44">
        <v>29307800</v>
      </c>
      <c r="E39" s="43">
        <v>35</v>
      </c>
      <c r="F39" s="43">
        <v>0</v>
      </c>
      <c r="G39" s="44">
        <v>1609917.94</v>
      </c>
      <c r="H39" s="44">
        <v>1019071.59</v>
      </c>
      <c r="I39" s="44">
        <v>671880.48</v>
      </c>
      <c r="J39" s="44">
        <v>347191.11</v>
      </c>
      <c r="K39" s="45">
        <v>1.1846000000000001E-2</v>
      </c>
      <c r="L39" s="44">
        <v>9274836.3200000003</v>
      </c>
      <c r="M39" s="44">
        <v>6113769.75</v>
      </c>
      <c r="N39" s="45">
        <v>0.20860000000000001</v>
      </c>
      <c r="O39" s="45">
        <v>3.4923999999999997E-2</v>
      </c>
      <c r="P39" s="45">
        <v>2.5399999999999999E-4</v>
      </c>
    </row>
    <row r="40" spans="1:16" x14ac:dyDescent="0.3">
      <c r="A40" s="43" t="s">
        <v>307</v>
      </c>
      <c r="B40" s="43" t="s">
        <v>308</v>
      </c>
      <c r="C40" s="43">
        <v>31</v>
      </c>
      <c r="D40" s="44">
        <v>29307800</v>
      </c>
      <c r="E40" s="43">
        <v>36</v>
      </c>
      <c r="F40" s="43">
        <v>0</v>
      </c>
      <c r="G40" s="44">
        <v>1665306.35</v>
      </c>
      <c r="H40" s="44">
        <v>1052360.54</v>
      </c>
      <c r="I40" s="44">
        <v>694702.45</v>
      </c>
      <c r="J40" s="44">
        <v>357658.09</v>
      </c>
      <c r="K40" s="45">
        <v>1.2204E-2</v>
      </c>
      <c r="L40" s="44">
        <v>9637996.1699999999</v>
      </c>
      <c r="M40" s="44">
        <v>5343527.88</v>
      </c>
      <c r="N40" s="45">
        <v>0.18229999999999999</v>
      </c>
      <c r="O40" s="45">
        <v>2.7695999999999998E-2</v>
      </c>
      <c r="P40" s="45">
        <v>4.0099999999999999E-4</v>
      </c>
    </row>
    <row r="41" spans="1:16" x14ac:dyDescent="0.3">
      <c r="A41" s="43" t="s">
        <v>307</v>
      </c>
      <c r="B41" s="43" t="s">
        <v>308</v>
      </c>
      <c r="C41" s="43">
        <v>31</v>
      </c>
      <c r="D41" s="44">
        <v>29307800</v>
      </c>
      <c r="E41" s="43">
        <v>37</v>
      </c>
      <c r="F41" s="43">
        <v>0</v>
      </c>
      <c r="G41" s="44">
        <v>1718243.35</v>
      </c>
      <c r="H41" s="44">
        <v>1085399.75</v>
      </c>
      <c r="I41" s="44">
        <v>713970.83</v>
      </c>
      <c r="J41" s="44">
        <v>371428.92</v>
      </c>
      <c r="K41" s="45">
        <v>1.2673E-2</v>
      </c>
      <c r="L41" s="44">
        <v>10073369.26</v>
      </c>
      <c r="M41" s="44">
        <v>4503524.2</v>
      </c>
      <c r="N41" s="45">
        <v>0.1537</v>
      </c>
      <c r="O41" s="45">
        <v>3.0332000000000001E-2</v>
      </c>
      <c r="P41" s="45">
        <v>3.7399999999999998E-4</v>
      </c>
    </row>
    <row r="42" spans="1:16" x14ac:dyDescent="0.3">
      <c r="A42" s="43" t="s">
        <v>307</v>
      </c>
      <c r="B42" s="43" t="s">
        <v>308</v>
      </c>
      <c r="C42" s="43">
        <v>31</v>
      </c>
      <c r="D42" s="44">
        <v>29307800</v>
      </c>
      <c r="E42" s="43">
        <v>38</v>
      </c>
      <c r="F42" s="43">
        <v>0</v>
      </c>
      <c r="G42" s="44">
        <v>1755803.06</v>
      </c>
      <c r="H42" s="44">
        <v>1112933.02</v>
      </c>
      <c r="I42" s="44">
        <v>728747.7</v>
      </c>
      <c r="J42" s="44">
        <v>384185.33</v>
      </c>
      <c r="K42" s="45">
        <v>1.3109000000000001E-2</v>
      </c>
      <c r="L42" s="44">
        <v>10291165.949999999</v>
      </c>
      <c r="M42" s="44">
        <v>3896474.19</v>
      </c>
      <c r="N42" s="45">
        <v>0.13300000000000001</v>
      </c>
      <c r="O42" s="45">
        <v>3.3017999999999999E-2</v>
      </c>
      <c r="P42" s="45">
        <v>3.4499999999999998E-4</v>
      </c>
    </row>
    <row r="43" spans="1:16" x14ac:dyDescent="0.3">
      <c r="A43" s="43" t="s">
        <v>307</v>
      </c>
      <c r="B43" s="43" t="s">
        <v>308</v>
      </c>
      <c r="C43" s="43">
        <v>31</v>
      </c>
      <c r="D43" s="44">
        <v>29307800</v>
      </c>
      <c r="E43" s="43">
        <v>39</v>
      </c>
      <c r="F43" s="43">
        <v>0</v>
      </c>
      <c r="G43" s="44">
        <v>1797871.06</v>
      </c>
      <c r="H43" s="44">
        <v>1142511.25</v>
      </c>
      <c r="I43" s="44">
        <v>748455.46</v>
      </c>
      <c r="J43" s="44">
        <v>394055.79</v>
      </c>
      <c r="K43" s="45">
        <v>1.3445E-2</v>
      </c>
      <c r="L43" s="44">
        <v>10652858.01</v>
      </c>
      <c r="M43" s="44">
        <v>3141020.53</v>
      </c>
      <c r="N43" s="45">
        <v>0.1072</v>
      </c>
      <c r="O43" s="45">
        <v>3.0238000000000001E-2</v>
      </c>
      <c r="P43" s="45">
        <v>3.6499999999999998E-4</v>
      </c>
    </row>
    <row r="44" spans="1:16" x14ac:dyDescent="0.3">
      <c r="A44" s="43" t="s">
        <v>307</v>
      </c>
      <c r="B44" s="43" t="s">
        <v>308</v>
      </c>
      <c r="C44" s="43">
        <v>31</v>
      </c>
      <c r="D44" s="44">
        <v>29307800</v>
      </c>
      <c r="E44" s="43">
        <v>40</v>
      </c>
      <c r="F44" s="43">
        <v>0</v>
      </c>
      <c r="G44" s="44">
        <v>1847385.8</v>
      </c>
      <c r="H44" s="44">
        <v>1178853.6200000001</v>
      </c>
      <c r="I44" s="44">
        <v>771166.47</v>
      </c>
      <c r="J44" s="44">
        <v>407687.16</v>
      </c>
      <c r="K44" s="45">
        <v>1.3911E-2</v>
      </c>
      <c r="L44" s="44">
        <v>10960206.130000001</v>
      </c>
      <c r="M44" s="44">
        <v>2432464.0699999998</v>
      </c>
      <c r="N44" s="45">
        <v>8.3000000000000004E-2</v>
      </c>
      <c r="O44" s="45">
        <v>3.7835000000000001E-2</v>
      </c>
      <c r="P44" s="45">
        <v>1.93E-4</v>
      </c>
    </row>
    <row r="45" spans="1:16" x14ac:dyDescent="0.3">
      <c r="A45" s="43" t="s">
        <v>307</v>
      </c>
      <c r="B45" s="43" t="s">
        <v>308</v>
      </c>
      <c r="C45" s="43">
        <v>31</v>
      </c>
      <c r="D45" s="44">
        <v>29307800</v>
      </c>
      <c r="E45" s="43">
        <v>41</v>
      </c>
      <c r="F45" s="43">
        <v>0</v>
      </c>
      <c r="G45" s="44">
        <v>1895584.56</v>
      </c>
      <c r="H45" s="44">
        <v>1212423.94</v>
      </c>
      <c r="I45" s="44">
        <v>786977.67</v>
      </c>
      <c r="J45" s="44">
        <v>425446.27</v>
      </c>
      <c r="K45" s="45">
        <v>1.4515999999999999E-2</v>
      </c>
      <c r="L45" s="44">
        <v>11159627.960000001</v>
      </c>
      <c r="M45" s="44">
        <v>1833149.88</v>
      </c>
      <c r="N45" s="45">
        <v>6.25E-2</v>
      </c>
      <c r="O45" s="45">
        <v>3.5191E-2</v>
      </c>
      <c r="P45" s="45">
        <v>6.6799999999999997E-4</v>
      </c>
    </row>
    <row r="46" spans="1:16" x14ac:dyDescent="0.3">
      <c r="A46" s="43" t="s">
        <v>307</v>
      </c>
      <c r="B46" s="43" t="s">
        <v>308</v>
      </c>
      <c r="C46" s="43">
        <v>31</v>
      </c>
      <c r="D46" s="44">
        <v>29307800</v>
      </c>
      <c r="E46" s="43">
        <v>42</v>
      </c>
      <c r="F46" s="43">
        <v>0</v>
      </c>
      <c r="G46" s="44">
        <v>1926310.46</v>
      </c>
      <c r="H46" s="44">
        <v>1229832.8899999999</v>
      </c>
      <c r="I46" s="44">
        <v>796573.23</v>
      </c>
      <c r="J46" s="44">
        <v>433259.66</v>
      </c>
      <c r="K46" s="45">
        <v>1.4782999999999999E-2</v>
      </c>
      <c r="L46" s="44">
        <v>11460697.109999999</v>
      </c>
      <c r="M46" s="44">
        <v>1149661.23</v>
      </c>
      <c r="N46" s="45">
        <v>3.9199999999999999E-2</v>
      </c>
      <c r="O46" s="45">
        <v>2.9732000000000001E-2</v>
      </c>
      <c r="P46" s="45">
        <v>4.2299999999999998E-4</v>
      </c>
    </row>
    <row r="47" spans="1:16" x14ac:dyDescent="0.3">
      <c r="A47" s="43" t="s">
        <v>307</v>
      </c>
      <c r="B47" s="43" t="s">
        <v>308</v>
      </c>
      <c r="C47" s="43">
        <v>31</v>
      </c>
      <c r="D47" s="44">
        <v>29307800</v>
      </c>
      <c r="E47" s="43">
        <v>43</v>
      </c>
      <c r="F47" s="43">
        <v>0</v>
      </c>
      <c r="G47" s="44">
        <v>1966706.93</v>
      </c>
      <c r="H47" s="44">
        <v>1256000.5900000001</v>
      </c>
      <c r="I47" s="44">
        <v>810255.21</v>
      </c>
      <c r="J47" s="44">
        <v>445745.38</v>
      </c>
      <c r="K47" s="45">
        <v>1.5209E-2</v>
      </c>
      <c r="L47" s="44">
        <v>11836109.640000001</v>
      </c>
      <c r="M47" s="44">
        <v>382158.63</v>
      </c>
      <c r="N47" s="45">
        <v>1.2999999999999999E-2</v>
      </c>
      <c r="O47" s="45">
        <v>3.8218000000000002E-2</v>
      </c>
      <c r="P47" s="45">
        <v>5.5699999999999999E-4</v>
      </c>
    </row>
    <row r="48" spans="1:16" x14ac:dyDescent="0.3">
      <c r="A48" s="43" t="s">
        <v>307</v>
      </c>
      <c r="B48" s="43" t="s">
        <v>308</v>
      </c>
      <c r="C48" s="43">
        <v>31</v>
      </c>
      <c r="D48" s="44">
        <v>29307800</v>
      </c>
      <c r="E48" s="43">
        <v>44</v>
      </c>
      <c r="F48" s="43">
        <v>0</v>
      </c>
      <c r="G48" s="44">
        <v>1997619.74</v>
      </c>
      <c r="H48" s="44">
        <v>1275766.46</v>
      </c>
      <c r="I48" s="44">
        <v>824776.61</v>
      </c>
      <c r="J48" s="44">
        <v>450989.85</v>
      </c>
      <c r="K48" s="45">
        <v>1.5388000000000001E-2</v>
      </c>
      <c r="L48" s="44">
        <v>12215064.67</v>
      </c>
      <c r="M48" s="44">
        <v>0</v>
      </c>
      <c r="N48" s="45">
        <v>0</v>
      </c>
      <c r="O48" s="45">
        <v>3.4362999999999998E-2</v>
      </c>
      <c r="P48" s="45">
        <v>2.4399999999999999E-4</v>
      </c>
    </row>
    <row r="49" spans="1:16" x14ac:dyDescent="0.3">
      <c r="A49" s="43" t="s">
        <v>307</v>
      </c>
      <c r="B49" s="43" t="s">
        <v>308</v>
      </c>
      <c r="C49" s="43">
        <v>31</v>
      </c>
      <c r="D49" s="44">
        <v>29307800</v>
      </c>
      <c r="E49" s="43">
        <v>45</v>
      </c>
      <c r="F49" s="43">
        <v>0</v>
      </c>
      <c r="G49" s="44">
        <v>2036323.16</v>
      </c>
      <c r="H49" s="44">
        <v>1302300.4099999999</v>
      </c>
      <c r="I49" s="44">
        <v>843379.72</v>
      </c>
      <c r="J49" s="44">
        <v>458920.68</v>
      </c>
      <c r="K49" s="45">
        <v>1.5658999999999999E-2</v>
      </c>
      <c r="L49" s="44">
        <v>12668731.470000001</v>
      </c>
      <c r="M49" s="44">
        <v>0</v>
      </c>
      <c r="N49" s="45">
        <v>0</v>
      </c>
      <c r="O49" s="45">
        <v>3.5825999999999997E-2</v>
      </c>
      <c r="P49" s="45">
        <v>2.1699999999999999E-4</v>
      </c>
    </row>
    <row r="50" spans="1:16" x14ac:dyDescent="0.3">
      <c r="A50" s="43" t="s">
        <v>309</v>
      </c>
      <c r="B50" s="43" t="s">
        <v>310</v>
      </c>
      <c r="C50" s="43">
        <v>31</v>
      </c>
      <c r="D50" s="44">
        <v>33513900</v>
      </c>
      <c r="E50" s="43">
        <v>0</v>
      </c>
      <c r="F50" s="43">
        <v>0</v>
      </c>
      <c r="G50" s="44">
        <v>0</v>
      </c>
      <c r="H50" s="44">
        <v>0</v>
      </c>
      <c r="I50" s="44">
        <v>0</v>
      </c>
      <c r="J50" s="44">
        <v>0</v>
      </c>
      <c r="K50" s="45">
        <v>0</v>
      </c>
      <c r="L50" s="44">
        <v>156594.12</v>
      </c>
      <c r="M50" s="44">
        <v>33357305.879999999</v>
      </c>
      <c r="N50" s="45">
        <v>0.99529999999999996</v>
      </c>
      <c r="O50" s="45">
        <v>1.9026000000000001E-2</v>
      </c>
      <c r="P50" s="45">
        <v>0</v>
      </c>
    </row>
    <row r="51" spans="1:16" x14ac:dyDescent="0.3">
      <c r="A51" s="43" t="s">
        <v>309</v>
      </c>
      <c r="B51" s="43" t="s">
        <v>310</v>
      </c>
      <c r="C51" s="43">
        <v>31</v>
      </c>
      <c r="D51" s="44">
        <v>33513900</v>
      </c>
      <c r="E51" s="43">
        <v>1</v>
      </c>
      <c r="F51" s="43">
        <v>0</v>
      </c>
      <c r="G51" s="44">
        <v>2450.98</v>
      </c>
      <c r="H51" s="44">
        <v>1533.15</v>
      </c>
      <c r="I51" s="44">
        <v>0</v>
      </c>
      <c r="J51" s="44">
        <v>1533.15</v>
      </c>
      <c r="K51" s="45">
        <v>4.6E-5</v>
      </c>
      <c r="L51" s="44">
        <v>372888.75</v>
      </c>
      <c r="M51" s="44">
        <v>32736393.469999999</v>
      </c>
      <c r="N51" s="45">
        <v>0.9768</v>
      </c>
      <c r="O51" s="45">
        <v>2.3879999999999998E-2</v>
      </c>
      <c r="P51" s="45">
        <v>4.3000000000000002E-5</v>
      </c>
    </row>
    <row r="52" spans="1:16" x14ac:dyDescent="0.3">
      <c r="A52" s="43" t="s">
        <v>309</v>
      </c>
      <c r="B52" s="43" t="s">
        <v>310</v>
      </c>
      <c r="C52" s="43">
        <v>31</v>
      </c>
      <c r="D52" s="44">
        <v>33513900</v>
      </c>
      <c r="E52" s="43">
        <v>2</v>
      </c>
      <c r="F52" s="43">
        <v>0</v>
      </c>
      <c r="G52" s="44">
        <v>8971.59</v>
      </c>
      <c r="H52" s="44">
        <v>5597.64</v>
      </c>
      <c r="I52" s="44">
        <v>0</v>
      </c>
      <c r="J52" s="44">
        <v>5597.64</v>
      </c>
      <c r="K52" s="45">
        <v>1.6699999999999999E-4</v>
      </c>
      <c r="L52" s="44">
        <v>579819.98</v>
      </c>
      <c r="M52" s="44">
        <v>32120774.829999998</v>
      </c>
      <c r="N52" s="45">
        <v>0.95840000000000003</v>
      </c>
      <c r="O52" s="45">
        <v>1.7281000000000001E-2</v>
      </c>
      <c r="P52" s="45">
        <v>1.3899999999999999E-4</v>
      </c>
    </row>
    <row r="53" spans="1:16" x14ac:dyDescent="0.3">
      <c r="A53" s="43" t="s">
        <v>309</v>
      </c>
      <c r="B53" s="43" t="s">
        <v>310</v>
      </c>
      <c r="C53" s="43">
        <v>31</v>
      </c>
      <c r="D53" s="44">
        <v>33513900</v>
      </c>
      <c r="E53" s="43">
        <v>3</v>
      </c>
      <c r="F53" s="43">
        <v>0</v>
      </c>
      <c r="G53" s="44">
        <v>16251.9</v>
      </c>
      <c r="H53" s="44">
        <v>10595.06</v>
      </c>
      <c r="I53" s="44">
        <v>0</v>
      </c>
      <c r="J53" s="44">
        <v>10595.06</v>
      </c>
      <c r="K53" s="45">
        <v>3.1599999999999998E-4</v>
      </c>
      <c r="L53" s="44">
        <v>808031.38</v>
      </c>
      <c r="M53" s="44">
        <v>31483116.329999998</v>
      </c>
      <c r="N53" s="45">
        <v>0.93940000000000001</v>
      </c>
      <c r="O53" s="45">
        <v>1.9644999999999999E-2</v>
      </c>
      <c r="P53" s="45">
        <v>1.5300000000000001E-4</v>
      </c>
    </row>
    <row r="54" spans="1:16" x14ac:dyDescent="0.3">
      <c r="A54" s="43" t="s">
        <v>309</v>
      </c>
      <c r="B54" s="43" t="s">
        <v>310</v>
      </c>
      <c r="C54" s="43">
        <v>31</v>
      </c>
      <c r="D54" s="44">
        <v>33513900</v>
      </c>
      <c r="E54" s="43">
        <v>4</v>
      </c>
      <c r="F54" s="43">
        <v>0</v>
      </c>
      <c r="G54" s="44">
        <v>28255.3</v>
      </c>
      <c r="H54" s="44">
        <v>18588.02</v>
      </c>
      <c r="I54" s="44">
        <v>4038.66</v>
      </c>
      <c r="J54" s="44">
        <v>14549.35</v>
      </c>
      <c r="K54" s="45">
        <v>4.3399999999999998E-4</v>
      </c>
      <c r="L54" s="44">
        <v>1079303.31</v>
      </c>
      <c r="M54" s="44">
        <v>30797674.190000001</v>
      </c>
      <c r="N54" s="45">
        <v>0.91900000000000004</v>
      </c>
      <c r="O54" s="45">
        <v>2.3935999999999999E-2</v>
      </c>
      <c r="P54" s="45">
        <v>9.3999999999999994E-5</v>
      </c>
    </row>
    <row r="55" spans="1:16" x14ac:dyDescent="0.3">
      <c r="A55" s="43" t="s">
        <v>309</v>
      </c>
      <c r="B55" s="43" t="s">
        <v>310</v>
      </c>
      <c r="C55" s="43">
        <v>31</v>
      </c>
      <c r="D55" s="44">
        <v>33513900</v>
      </c>
      <c r="E55" s="43">
        <v>5</v>
      </c>
      <c r="F55" s="43">
        <v>0</v>
      </c>
      <c r="G55" s="44">
        <v>43256.4</v>
      </c>
      <c r="H55" s="44">
        <v>28273.45</v>
      </c>
      <c r="I55" s="44">
        <v>8602.75</v>
      </c>
      <c r="J55" s="44">
        <v>19670.7</v>
      </c>
      <c r="K55" s="45">
        <v>5.8699999999999996E-4</v>
      </c>
      <c r="L55" s="44">
        <v>1330876.3</v>
      </c>
      <c r="M55" s="44">
        <v>30128933.300000001</v>
      </c>
      <c r="N55" s="45">
        <v>0.89900000000000002</v>
      </c>
      <c r="O55" s="45">
        <v>1.9099000000000001E-2</v>
      </c>
      <c r="P55" s="45">
        <v>1.1400000000000001E-4</v>
      </c>
    </row>
    <row r="56" spans="1:16" x14ac:dyDescent="0.3">
      <c r="A56" s="43" t="s">
        <v>309</v>
      </c>
      <c r="B56" s="43" t="s">
        <v>310</v>
      </c>
      <c r="C56" s="43">
        <v>31</v>
      </c>
      <c r="D56" s="44">
        <v>33513900</v>
      </c>
      <c r="E56" s="43">
        <v>6</v>
      </c>
      <c r="F56" s="43">
        <v>0</v>
      </c>
      <c r="G56" s="44">
        <v>56132.62</v>
      </c>
      <c r="H56" s="44">
        <v>37693.360000000001</v>
      </c>
      <c r="I56" s="44">
        <v>14115.16</v>
      </c>
      <c r="J56" s="44">
        <v>23578.2</v>
      </c>
      <c r="K56" s="45">
        <v>7.0399999999999998E-4</v>
      </c>
      <c r="L56" s="44">
        <v>1465310.2</v>
      </c>
      <c r="M56" s="44">
        <v>29579456.379999999</v>
      </c>
      <c r="N56" s="45">
        <v>0.88260000000000005</v>
      </c>
      <c r="O56" s="45">
        <v>2.0288E-2</v>
      </c>
      <c r="P56" s="45">
        <v>1.0399999999999999E-4</v>
      </c>
    </row>
    <row r="57" spans="1:16" x14ac:dyDescent="0.3">
      <c r="A57" s="43" t="s">
        <v>309</v>
      </c>
      <c r="B57" s="43" t="s">
        <v>310</v>
      </c>
      <c r="C57" s="43">
        <v>31</v>
      </c>
      <c r="D57" s="44">
        <v>33513900</v>
      </c>
      <c r="E57" s="43">
        <v>7</v>
      </c>
      <c r="F57" s="43">
        <v>0</v>
      </c>
      <c r="G57" s="44">
        <v>72003.75</v>
      </c>
      <c r="H57" s="44">
        <v>47752.67</v>
      </c>
      <c r="I57" s="44">
        <v>21126.52</v>
      </c>
      <c r="J57" s="44">
        <v>26626.16</v>
      </c>
      <c r="K57" s="45">
        <v>7.94E-4</v>
      </c>
      <c r="L57" s="44">
        <v>1786041.79</v>
      </c>
      <c r="M57" s="44">
        <v>28840686.870000001</v>
      </c>
      <c r="N57" s="45">
        <v>0.86060000000000003</v>
      </c>
      <c r="O57" s="45">
        <v>1.7641E-2</v>
      </c>
      <c r="P57" s="45">
        <v>5.3999999999999998E-5</v>
      </c>
    </row>
    <row r="58" spans="1:16" x14ac:dyDescent="0.3">
      <c r="A58" s="43" t="s">
        <v>309</v>
      </c>
      <c r="B58" s="43" t="s">
        <v>310</v>
      </c>
      <c r="C58" s="43">
        <v>31</v>
      </c>
      <c r="D58" s="44">
        <v>33513900</v>
      </c>
      <c r="E58" s="43">
        <v>8</v>
      </c>
      <c r="F58" s="43">
        <v>0</v>
      </c>
      <c r="G58" s="44">
        <v>95651.04</v>
      </c>
      <c r="H58" s="44">
        <v>64753.64</v>
      </c>
      <c r="I58" s="44">
        <v>31615.360000000001</v>
      </c>
      <c r="J58" s="44">
        <v>33138.28</v>
      </c>
      <c r="K58" s="45">
        <v>9.8900000000000008E-4</v>
      </c>
      <c r="L58" s="44">
        <v>2060606.5</v>
      </c>
      <c r="M58" s="44">
        <v>28140308.059999999</v>
      </c>
      <c r="N58" s="45">
        <v>0.8397</v>
      </c>
      <c r="O58" s="45">
        <v>2.6764E-2</v>
      </c>
      <c r="P58" s="45">
        <v>1.5899999999999999E-4</v>
      </c>
    </row>
    <row r="59" spans="1:16" x14ac:dyDescent="0.3">
      <c r="A59" s="43" t="s">
        <v>309</v>
      </c>
      <c r="B59" s="43" t="s">
        <v>310</v>
      </c>
      <c r="C59" s="43">
        <v>31</v>
      </c>
      <c r="D59" s="44">
        <v>33513900</v>
      </c>
      <c r="E59" s="43">
        <v>9</v>
      </c>
      <c r="F59" s="43">
        <v>0</v>
      </c>
      <c r="G59" s="44">
        <v>131371.71</v>
      </c>
      <c r="H59" s="44">
        <v>88026.37</v>
      </c>
      <c r="I59" s="44">
        <v>43784.02</v>
      </c>
      <c r="J59" s="44">
        <v>44242.35</v>
      </c>
      <c r="K59" s="45">
        <v>1.32E-3</v>
      </c>
      <c r="L59" s="44">
        <v>2258874.2999999998</v>
      </c>
      <c r="M59" s="44">
        <v>27504152.789999999</v>
      </c>
      <c r="N59" s="45">
        <v>0.82069999999999999</v>
      </c>
      <c r="O59" s="45">
        <v>2.5137E-2</v>
      </c>
      <c r="P59" s="45">
        <v>2.99E-4</v>
      </c>
    </row>
    <row r="60" spans="1:16" x14ac:dyDescent="0.3">
      <c r="A60" s="43" t="s">
        <v>309</v>
      </c>
      <c r="B60" s="43" t="s">
        <v>310</v>
      </c>
      <c r="C60" s="43">
        <v>31</v>
      </c>
      <c r="D60" s="44">
        <v>33513900</v>
      </c>
      <c r="E60" s="43">
        <v>10</v>
      </c>
      <c r="F60" s="43">
        <v>0</v>
      </c>
      <c r="G60" s="44">
        <v>172816.96</v>
      </c>
      <c r="H60" s="44">
        <v>114733.64</v>
      </c>
      <c r="I60" s="44">
        <v>57111.13</v>
      </c>
      <c r="J60" s="44">
        <v>57622.51</v>
      </c>
      <c r="K60" s="45">
        <v>1.719E-3</v>
      </c>
      <c r="L60" s="44">
        <v>2526531.1</v>
      </c>
      <c r="M60" s="44">
        <v>26792883.940000001</v>
      </c>
      <c r="N60" s="45">
        <v>0.79949999999999999</v>
      </c>
      <c r="O60" s="45">
        <v>1.9245999999999999E-2</v>
      </c>
      <c r="P60" s="45">
        <v>3.4499999999999998E-4</v>
      </c>
    </row>
    <row r="61" spans="1:16" x14ac:dyDescent="0.3">
      <c r="A61" s="43" t="s">
        <v>309</v>
      </c>
      <c r="B61" s="43" t="s">
        <v>310</v>
      </c>
      <c r="C61" s="43">
        <v>31</v>
      </c>
      <c r="D61" s="44">
        <v>33513900</v>
      </c>
      <c r="E61" s="43">
        <v>11</v>
      </c>
      <c r="F61" s="43">
        <v>0</v>
      </c>
      <c r="G61" s="44">
        <v>204694.2</v>
      </c>
      <c r="H61" s="44">
        <v>136305.41</v>
      </c>
      <c r="I61" s="44">
        <v>69896.179999999993</v>
      </c>
      <c r="J61" s="44">
        <v>66409.23</v>
      </c>
      <c r="K61" s="45">
        <v>1.9819999999999998E-3</v>
      </c>
      <c r="L61" s="44">
        <v>2761393.39</v>
      </c>
      <c r="M61" s="44">
        <v>26123977.620000001</v>
      </c>
      <c r="N61" s="45">
        <v>0.77949999999999997</v>
      </c>
      <c r="O61" s="45">
        <v>2.7196999999999999E-2</v>
      </c>
      <c r="P61" s="45">
        <v>2.7099999999999997E-4</v>
      </c>
    </row>
    <row r="62" spans="1:16" x14ac:dyDescent="0.3">
      <c r="A62" s="43" t="s">
        <v>309</v>
      </c>
      <c r="B62" s="43" t="s">
        <v>310</v>
      </c>
      <c r="C62" s="43">
        <v>31</v>
      </c>
      <c r="D62" s="44">
        <v>33513900</v>
      </c>
      <c r="E62" s="43">
        <v>12</v>
      </c>
      <c r="F62" s="43">
        <v>0</v>
      </c>
      <c r="G62" s="44">
        <v>240053</v>
      </c>
      <c r="H62" s="44">
        <v>162788.54999999999</v>
      </c>
      <c r="I62" s="44">
        <v>86702.9</v>
      </c>
      <c r="J62" s="44">
        <v>76085.649999999994</v>
      </c>
      <c r="K62" s="45">
        <v>2.2699999999999999E-3</v>
      </c>
      <c r="L62" s="44">
        <v>2917859.85</v>
      </c>
      <c r="M62" s="44">
        <v>25529985.550000001</v>
      </c>
      <c r="N62" s="45">
        <v>0.76180000000000003</v>
      </c>
      <c r="O62" s="45">
        <v>2.3949000000000002E-2</v>
      </c>
      <c r="P62" s="45">
        <v>1.08E-4</v>
      </c>
    </row>
    <row r="63" spans="1:16" x14ac:dyDescent="0.3">
      <c r="A63" s="43" t="s">
        <v>309</v>
      </c>
      <c r="B63" s="43" t="s">
        <v>310</v>
      </c>
      <c r="C63" s="43">
        <v>31</v>
      </c>
      <c r="D63" s="44">
        <v>33513900</v>
      </c>
      <c r="E63" s="43">
        <v>13</v>
      </c>
      <c r="F63" s="43">
        <v>0</v>
      </c>
      <c r="G63" s="44">
        <v>290486.55</v>
      </c>
      <c r="H63" s="44">
        <v>193657.69</v>
      </c>
      <c r="I63" s="44">
        <v>103308.17</v>
      </c>
      <c r="J63" s="44">
        <v>90349.52</v>
      </c>
      <c r="K63" s="45">
        <v>2.696E-3</v>
      </c>
      <c r="L63" s="44">
        <v>3195188</v>
      </c>
      <c r="M63" s="44">
        <v>24800057.050000001</v>
      </c>
      <c r="N63" s="45">
        <v>0.74</v>
      </c>
      <c r="O63" s="45">
        <v>2.4721E-2</v>
      </c>
      <c r="P63" s="45">
        <v>4.1199999999999999E-4</v>
      </c>
    </row>
    <row r="64" spans="1:16" x14ac:dyDescent="0.3">
      <c r="A64" s="43" t="s">
        <v>309</v>
      </c>
      <c r="B64" s="43" t="s">
        <v>310</v>
      </c>
      <c r="C64" s="43">
        <v>31</v>
      </c>
      <c r="D64" s="44">
        <v>33513900</v>
      </c>
      <c r="E64" s="43">
        <v>14</v>
      </c>
      <c r="F64" s="43">
        <v>0</v>
      </c>
      <c r="G64" s="44">
        <v>352489.76</v>
      </c>
      <c r="H64" s="44">
        <v>229353.38</v>
      </c>
      <c r="I64" s="44">
        <v>134167.18</v>
      </c>
      <c r="J64" s="44">
        <v>95186.2</v>
      </c>
      <c r="K64" s="45">
        <v>2.8400000000000001E-3</v>
      </c>
      <c r="L64" s="44">
        <v>3473579.01</v>
      </c>
      <c r="M64" s="44">
        <v>24057496.030000001</v>
      </c>
      <c r="N64" s="45">
        <v>0.71779999999999999</v>
      </c>
      <c r="O64" s="45">
        <v>1.9692999999999999E-2</v>
      </c>
      <c r="P64" s="45">
        <v>3.97E-4</v>
      </c>
    </row>
    <row r="65" spans="1:16" x14ac:dyDescent="0.3">
      <c r="A65" s="43" t="s">
        <v>309</v>
      </c>
      <c r="B65" s="43" t="s">
        <v>310</v>
      </c>
      <c r="C65" s="43">
        <v>31</v>
      </c>
      <c r="D65" s="44">
        <v>33513900</v>
      </c>
      <c r="E65" s="43">
        <v>15</v>
      </c>
      <c r="F65" s="43">
        <v>0</v>
      </c>
      <c r="G65" s="44">
        <v>413132.35</v>
      </c>
      <c r="H65" s="44">
        <v>267450.55</v>
      </c>
      <c r="I65" s="44">
        <v>160338.45000000001</v>
      </c>
      <c r="J65" s="44">
        <v>107112.1</v>
      </c>
      <c r="K65" s="45">
        <v>3.1960000000000001E-3</v>
      </c>
      <c r="L65" s="44">
        <v>3622203.97</v>
      </c>
      <c r="M65" s="44">
        <v>23446061.68</v>
      </c>
      <c r="N65" s="45">
        <v>0.6996</v>
      </c>
      <c r="O65" s="45">
        <v>2.0496E-2</v>
      </c>
      <c r="P65" s="45">
        <v>3.2400000000000001E-4</v>
      </c>
    </row>
    <row r="66" spans="1:16" x14ac:dyDescent="0.3">
      <c r="A66" s="43" t="s">
        <v>309</v>
      </c>
      <c r="B66" s="43" t="s">
        <v>310</v>
      </c>
      <c r="C66" s="43">
        <v>31</v>
      </c>
      <c r="D66" s="44">
        <v>33513900</v>
      </c>
      <c r="E66" s="43">
        <v>16</v>
      </c>
      <c r="F66" s="43">
        <v>0</v>
      </c>
      <c r="G66" s="44">
        <v>480448.28</v>
      </c>
      <c r="H66" s="44">
        <v>312006.67</v>
      </c>
      <c r="I66" s="44">
        <v>184836.46</v>
      </c>
      <c r="J66" s="44">
        <v>127170.21</v>
      </c>
      <c r="K66" s="45">
        <v>3.7950000000000002E-3</v>
      </c>
      <c r="L66" s="44">
        <v>3941281</v>
      </c>
      <c r="M66" s="44">
        <v>22657501.920000002</v>
      </c>
      <c r="N66" s="45">
        <v>0.67610000000000003</v>
      </c>
      <c r="O66" s="45">
        <v>2.3713000000000001E-2</v>
      </c>
      <c r="P66" s="45">
        <v>4.57E-4</v>
      </c>
    </row>
    <row r="67" spans="1:16" x14ac:dyDescent="0.3">
      <c r="A67" s="43" t="s">
        <v>309</v>
      </c>
      <c r="B67" s="43" t="s">
        <v>310</v>
      </c>
      <c r="C67" s="43">
        <v>31</v>
      </c>
      <c r="D67" s="44">
        <v>33513900</v>
      </c>
      <c r="E67" s="43">
        <v>17</v>
      </c>
      <c r="F67" s="43">
        <v>0</v>
      </c>
      <c r="G67" s="44">
        <v>529835.9</v>
      </c>
      <c r="H67" s="44">
        <v>346376.83</v>
      </c>
      <c r="I67" s="44">
        <v>203610.12</v>
      </c>
      <c r="J67" s="44">
        <v>142766.71</v>
      </c>
      <c r="K67" s="45">
        <v>4.2599999999999999E-3</v>
      </c>
      <c r="L67" s="44">
        <v>4285275.45</v>
      </c>
      <c r="M67" s="44">
        <v>21861953.050000001</v>
      </c>
      <c r="N67" s="45">
        <v>0.65229999999999999</v>
      </c>
      <c r="O67" s="45">
        <v>2.9458000000000002E-2</v>
      </c>
      <c r="P67" s="45">
        <v>4.55E-4</v>
      </c>
    </row>
    <row r="68" spans="1:16" x14ac:dyDescent="0.3">
      <c r="A68" s="43" t="s">
        <v>309</v>
      </c>
      <c r="B68" s="43" t="s">
        <v>310</v>
      </c>
      <c r="C68" s="43">
        <v>31</v>
      </c>
      <c r="D68" s="44">
        <v>33513900</v>
      </c>
      <c r="E68" s="43">
        <v>18</v>
      </c>
      <c r="F68" s="43">
        <v>0</v>
      </c>
      <c r="G68" s="44">
        <v>584724.18999999994</v>
      </c>
      <c r="H68" s="44">
        <v>386550.41</v>
      </c>
      <c r="I68" s="44">
        <v>229941.14</v>
      </c>
      <c r="J68" s="44">
        <v>156609.26999999999</v>
      </c>
      <c r="K68" s="45">
        <v>4.6730000000000001E-3</v>
      </c>
      <c r="L68" s="44">
        <v>4694130.24</v>
      </c>
      <c r="M68" s="44">
        <v>20996043.170000002</v>
      </c>
      <c r="N68" s="45">
        <v>0.62649999999999995</v>
      </c>
      <c r="O68" s="45">
        <v>2.4813999999999999E-2</v>
      </c>
      <c r="P68" s="45">
        <v>3.4900000000000003E-4</v>
      </c>
    </row>
    <row r="69" spans="1:16" x14ac:dyDescent="0.3">
      <c r="A69" s="43" t="s">
        <v>309</v>
      </c>
      <c r="B69" s="43" t="s">
        <v>310</v>
      </c>
      <c r="C69" s="43">
        <v>31</v>
      </c>
      <c r="D69" s="44">
        <v>33513900</v>
      </c>
      <c r="E69" s="43">
        <v>19</v>
      </c>
      <c r="F69" s="43">
        <v>0</v>
      </c>
      <c r="G69" s="44">
        <v>653454.52</v>
      </c>
      <c r="H69" s="44">
        <v>424870.54</v>
      </c>
      <c r="I69" s="44">
        <v>263028.94</v>
      </c>
      <c r="J69" s="44">
        <v>161841.60000000001</v>
      </c>
      <c r="K69" s="45">
        <v>4.829E-3</v>
      </c>
      <c r="L69" s="44">
        <v>4865851.37</v>
      </c>
      <c r="M69" s="44">
        <v>20353424.91</v>
      </c>
      <c r="N69" s="45">
        <v>0.60729999999999995</v>
      </c>
      <c r="O69" s="45">
        <v>2.1857000000000001E-2</v>
      </c>
      <c r="P69" s="45">
        <v>4.7699999999999999E-4</v>
      </c>
    </row>
    <row r="70" spans="1:16" x14ac:dyDescent="0.3">
      <c r="A70" s="43" t="s">
        <v>309</v>
      </c>
      <c r="B70" s="43" t="s">
        <v>310</v>
      </c>
      <c r="C70" s="43">
        <v>31</v>
      </c>
      <c r="D70" s="44">
        <v>33513900</v>
      </c>
      <c r="E70" s="43">
        <v>20</v>
      </c>
      <c r="F70" s="43">
        <v>0</v>
      </c>
      <c r="G70" s="44">
        <v>711781.09</v>
      </c>
      <c r="H70" s="44">
        <v>467921.53</v>
      </c>
      <c r="I70" s="44">
        <v>281856.27</v>
      </c>
      <c r="J70" s="44">
        <v>186065.25</v>
      </c>
      <c r="K70" s="45">
        <v>5.5519999999999996E-3</v>
      </c>
      <c r="L70" s="44">
        <v>5024534.82</v>
      </c>
      <c r="M70" s="44">
        <v>19734248.09</v>
      </c>
      <c r="N70" s="45">
        <v>0.58879999999999999</v>
      </c>
      <c r="O70" s="45">
        <v>3.0203000000000001E-2</v>
      </c>
      <c r="P70" s="45">
        <v>5.8E-4</v>
      </c>
    </row>
    <row r="71" spans="1:16" x14ac:dyDescent="0.3">
      <c r="A71" s="43" t="s">
        <v>309</v>
      </c>
      <c r="B71" s="43" t="s">
        <v>310</v>
      </c>
      <c r="C71" s="43">
        <v>31</v>
      </c>
      <c r="D71" s="44">
        <v>33513900</v>
      </c>
      <c r="E71" s="43">
        <v>21</v>
      </c>
      <c r="F71" s="43">
        <v>0</v>
      </c>
      <c r="G71" s="44">
        <v>780800.19</v>
      </c>
      <c r="H71" s="44">
        <v>509728.87</v>
      </c>
      <c r="I71" s="44">
        <v>305745.73</v>
      </c>
      <c r="J71" s="44">
        <v>203983.14</v>
      </c>
      <c r="K71" s="45">
        <v>6.0870000000000004E-3</v>
      </c>
      <c r="L71" s="44">
        <v>5410535.2199999997</v>
      </c>
      <c r="M71" s="44">
        <v>18877061.780000001</v>
      </c>
      <c r="N71" s="45">
        <v>0.56330000000000002</v>
      </c>
      <c r="O71" s="45">
        <v>2.5350999999999999E-2</v>
      </c>
      <c r="P71" s="45">
        <v>7.8299999999999995E-4</v>
      </c>
    </row>
    <row r="72" spans="1:16" x14ac:dyDescent="0.3">
      <c r="A72" s="43" t="s">
        <v>309</v>
      </c>
      <c r="B72" s="43" t="s">
        <v>310</v>
      </c>
      <c r="C72" s="43">
        <v>31</v>
      </c>
      <c r="D72" s="44">
        <v>33513900</v>
      </c>
      <c r="E72" s="43">
        <v>22</v>
      </c>
      <c r="F72" s="43">
        <v>0</v>
      </c>
      <c r="G72" s="44">
        <v>844695.66</v>
      </c>
      <c r="H72" s="44">
        <v>556672.39</v>
      </c>
      <c r="I72" s="44">
        <v>332858.34000000003</v>
      </c>
      <c r="J72" s="44">
        <v>223814.06</v>
      </c>
      <c r="K72" s="45">
        <v>6.6779999999999999E-3</v>
      </c>
      <c r="L72" s="44">
        <v>5648552.0499999998</v>
      </c>
      <c r="M72" s="44">
        <v>18172982.690000001</v>
      </c>
      <c r="N72" s="45">
        <v>0.5423</v>
      </c>
      <c r="O72" s="45">
        <v>2.9395999999999999E-2</v>
      </c>
      <c r="P72" s="45">
        <v>4.8099999999999998E-4</v>
      </c>
    </row>
    <row r="73" spans="1:16" x14ac:dyDescent="0.3">
      <c r="A73" s="43" t="s">
        <v>309</v>
      </c>
      <c r="B73" s="43" t="s">
        <v>310</v>
      </c>
      <c r="C73" s="43">
        <v>31</v>
      </c>
      <c r="D73" s="44">
        <v>33513900</v>
      </c>
      <c r="E73" s="43">
        <v>23</v>
      </c>
      <c r="F73" s="43">
        <v>0</v>
      </c>
      <c r="G73" s="44">
        <v>901492.51</v>
      </c>
      <c r="H73" s="44">
        <v>595211.29</v>
      </c>
      <c r="I73" s="44">
        <v>354371.94</v>
      </c>
      <c r="J73" s="44">
        <v>240839.35</v>
      </c>
      <c r="K73" s="45">
        <v>7.1859999999999997E-3</v>
      </c>
      <c r="L73" s="44">
        <v>5991354.2400000002</v>
      </c>
      <c r="M73" s="44">
        <v>17371216.850000001</v>
      </c>
      <c r="N73" s="45">
        <v>0.51829999999999998</v>
      </c>
      <c r="O73" s="45">
        <v>2.7785000000000001E-2</v>
      </c>
      <c r="P73" s="45">
        <v>5.6499999999999996E-4</v>
      </c>
    </row>
    <row r="74" spans="1:16" x14ac:dyDescent="0.3">
      <c r="A74" s="43" t="s">
        <v>309</v>
      </c>
      <c r="B74" s="43" t="s">
        <v>310</v>
      </c>
      <c r="C74" s="43">
        <v>31</v>
      </c>
      <c r="D74" s="44">
        <v>33513900</v>
      </c>
      <c r="E74" s="43">
        <v>24</v>
      </c>
      <c r="F74" s="43">
        <v>0</v>
      </c>
      <c r="G74" s="44">
        <v>956133.3</v>
      </c>
      <c r="H74" s="44">
        <v>636018.57999999996</v>
      </c>
      <c r="I74" s="44">
        <v>376445.86</v>
      </c>
      <c r="J74" s="44">
        <v>259572.72</v>
      </c>
      <c r="K74" s="45">
        <v>7.7450000000000001E-3</v>
      </c>
      <c r="L74" s="44">
        <v>6276356.79</v>
      </c>
      <c r="M74" s="44">
        <v>16629406.710000001</v>
      </c>
      <c r="N74" s="45">
        <v>0.49619999999999997</v>
      </c>
      <c r="O74" s="45">
        <v>3.0609999999999998E-2</v>
      </c>
      <c r="P74" s="45">
        <v>3.3700000000000001E-4</v>
      </c>
    </row>
    <row r="75" spans="1:16" x14ac:dyDescent="0.3">
      <c r="A75" s="43" t="s">
        <v>309</v>
      </c>
      <c r="B75" s="43" t="s">
        <v>310</v>
      </c>
      <c r="C75" s="43">
        <v>31</v>
      </c>
      <c r="D75" s="44">
        <v>33513900</v>
      </c>
      <c r="E75" s="43">
        <v>25</v>
      </c>
      <c r="F75" s="43">
        <v>0</v>
      </c>
      <c r="G75" s="44">
        <v>1041420.05</v>
      </c>
      <c r="H75" s="44">
        <v>688853.43</v>
      </c>
      <c r="I75" s="44">
        <v>409844.13</v>
      </c>
      <c r="J75" s="44">
        <v>279009.3</v>
      </c>
      <c r="K75" s="45">
        <v>8.3250000000000008E-3</v>
      </c>
      <c r="L75" s="44">
        <v>6447866.79</v>
      </c>
      <c r="M75" s="44">
        <v>15970443.15</v>
      </c>
      <c r="N75" s="45">
        <v>0.47649999999999998</v>
      </c>
      <c r="O75" s="45">
        <v>3.0511E-2</v>
      </c>
      <c r="P75" s="45">
        <v>4.4099999999999999E-4</v>
      </c>
    </row>
    <row r="76" spans="1:16" x14ac:dyDescent="0.3">
      <c r="A76" s="43" t="s">
        <v>309</v>
      </c>
      <c r="B76" s="43" t="s">
        <v>310</v>
      </c>
      <c r="C76" s="43">
        <v>31</v>
      </c>
      <c r="D76" s="44">
        <v>33513900</v>
      </c>
      <c r="E76" s="43">
        <v>26</v>
      </c>
      <c r="F76" s="43">
        <v>0</v>
      </c>
      <c r="G76" s="44">
        <v>1150099.0900000001</v>
      </c>
      <c r="H76" s="44">
        <v>753236.87</v>
      </c>
      <c r="I76" s="44">
        <v>450030.41</v>
      </c>
      <c r="J76" s="44">
        <v>303206.46000000002</v>
      </c>
      <c r="K76" s="45">
        <v>9.0469999999999995E-3</v>
      </c>
      <c r="L76" s="44">
        <v>6811107.7300000004</v>
      </c>
      <c r="M76" s="44">
        <v>15096356.380000001</v>
      </c>
      <c r="N76" s="45">
        <v>0.45050000000000001</v>
      </c>
      <c r="O76" s="45">
        <v>3.1463999999999999E-2</v>
      </c>
      <c r="P76" s="45">
        <v>7.4299999999999995E-4</v>
      </c>
    </row>
    <row r="77" spans="1:16" x14ac:dyDescent="0.3">
      <c r="A77" s="43" t="s">
        <v>309</v>
      </c>
      <c r="B77" s="43" t="s">
        <v>310</v>
      </c>
      <c r="C77" s="43">
        <v>31</v>
      </c>
      <c r="D77" s="44">
        <v>33513900</v>
      </c>
      <c r="E77" s="43">
        <v>27</v>
      </c>
      <c r="F77" s="43">
        <v>0</v>
      </c>
      <c r="G77" s="44">
        <v>1231051.6100000001</v>
      </c>
      <c r="H77" s="44">
        <v>802459.5</v>
      </c>
      <c r="I77" s="44">
        <v>484105.92</v>
      </c>
      <c r="J77" s="44">
        <v>318353.58</v>
      </c>
      <c r="K77" s="45">
        <v>9.4990000000000005E-3</v>
      </c>
      <c r="L77" s="44">
        <v>7202448.2000000002</v>
      </c>
      <c r="M77" s="44">
        <v>14221896.59</v>
      </c>
      <c r="N77" s="45">
        <v>0.4244</v>
      </c>
      <c r="O77" s="45">
        <v>2.5395000000000001E-2</v>
      </c>
      <c r="P77" s="45">
        <v>5.8100000000000003E-4</v>
      </c>
    </row>
    <row r="78" spans="1:16" x14ac:dyDescent="0.3">
      <c r="A78" s="43" t="s">
        <v>309</v>
      </c>
      <c r="B78" s="43" t="s">
        <v>310</v>
      </c>
      <c r="C78" s="43">
        <v>31</v>
      </c>
      <c r="D78" s="44">
        <v>33513900</v>
      </c>
      <c r="E78" s="43">
        <v>28</v>
      </c>
      <c r="F78" s="43">
        <v>0</v>
      </c>
      <c r="G78" s="44">
        <v>1330811.02</v>
      </c>
      <c r="H78" s="44">
        <v>877253.09</v>
      </c>
      <c r="I78" s="44">
        <v>522457.25</v>
      </c>
      <c r="J78" s="44">
        <v>354795.84</v>
      </c>
      <c r="K78" s="45">
        <v>1.0586999999999999E-2</v>
      </c>
      <c r="L78" s="44">
        <v>7460807.1600000001</v>
      </c>
      <c r="M78" s="44">
        <v>13461611.42</v>
      </c>
      <c r="N78" s="45">
        <v>0.4017</v>
      </c>
      <c r="O78" s="45">
        <v>3.1668000000000002E-2</v>
      </c>
      <c r="P78" s="45">
        <v>7.0500000000000001E-4</v>
      </c>
    </row>
    <row r="79" spans="1:16" x14ac:dyDescent="0.3">
      <c r="A79" s="43" t="s">
        <v>309</v>
      </c>
      <c r="B79" s="43" t="s">
        <v>310</v>
      </c>
      <c r="C79" s="43">
        <v>31</v>
      </c>
      <c r="D79" s="44">
        <v>33513900</v>
      </c>
      <c r="E79" s="43">
        <v>29</v>
      </c>
      <c r="F79" s="43">
        <v>0</v>
      </c>
      <c r="G79" s="44">
        <v>1407685.35</v>
      </c>
      <c r="H79" s="44">
        <v>932860.5</v>
      </c>
      <c r="I79" s="44">
        <v>552988.99</v>
      </c>
      <c r="J79" s="44">
        <v>379871.51</v>
      </c>
      <c r="K79" s="45">
        <v>1.1335E-2</v>
      </c>
      <c r="L79" s="44">
        <v>7810216.29</v>
      </c>
      <c r="M79" s="44">
        <v>12633161.16</v>
      </c>
      <c r="N79" s="45">
        <v>0.377</v>
      </c>
      <c r="O79" s="45">
        <v>2.9758E-2</v>
      </c>
      <c r="P79" s="45">
        <v>5.6999999999999998E-4</v>
      </c>
    </row>
    <row r="80" spans="1:16" x14ac:dyDescent="0.3">
      <c r="A80" s="43" t="s">
        <v>309</v>
      </c>
      <c r="B80" s="43" t="s">
        <v>310</v>
      </c>
      <c r="C80" s="43">
        <v>31</v>
      </c>
      <c r="D80" s="44">
        <v>33513900</v>
      </c>
      <c r="E80" s="43">
        <v>30</v>
      </c>
      <c r="F80" s="43">
        <v>0</v>
      </c>
      <c r="G80" s="44">
        <v>1473199.23</v>
      </c>
      <c r="H80" s="44">
        <v>981037.27</v>
      </c>
      <c r="I80" s="44">
        <v>583262.84</v>
      </c>
      <c r="J80" s="44">
        <v>397774.43</v>
      </c>
      <c r="K80" s="45">
        <v>1.1868999999999999E-2</v>
      </c>
      <c r="L80" s="44">
        <v>8068137.7400000002</v>
      </c>
      <c r="M80" s="44">
        <v>11907559.029999999</v>
      </c>
      <c r="N80" s="45">
        <v>0.3553</v>
      </c>
      <c r="O80" s="45">
        <v>2.9323999999999999E-2</v>
      </c>
      <c r="P80" s="45">
        <v>3.77E-4</v>
      </c>
    </row>
    <row r="81" spans="1:16" x14ac:dyDescent="0.3">
      <c r="A81" s="43" t="s">
        <v>309</v>
      </c>
      <c r="B81" s="43" t="s">
        <v>310</v>
      </c>
      <c r="C81" s="43">
        <v>31</v>
      </c>
      <c r="D81" s="44">
        <v>33513900</v>
      </c>
      <c r="E81" s="43">
        <v>31</v>
      </c>
      <c r="F81" s="43">
        <v>0</v>
      </c>
      <c r="G81" s="44">
        <v>1544645.13</v>
      </c>
      <c r="H81" s="44">
        <v>1032894.1</v>
      </c>
      <c r="I81" s="44">
        <v>605950.93999999994</v>
      </c>
      <c r="J81" s="44">
        <v>426943.16</v>
      </c>
      <c r="K81" s="45">
        <v>1.2739E-2</v>
      </c>
      <c r="L81" s="44">
        <v>8488318.1999999993</v>
      </c>
      <c r="M81" s="44">
        <v>11013765.869999999</v>
      </c>
      <c r="N81" s="45">
        <v>0.3286</v>
      </c>
      <c r="O81" s="45">
        <v>3.3156999999999999E-2</v>
      </c>
      <c r="P81" s="45">
        <v>5.6400000000000005E-4</v>
      </c>
    </row>
    <row r="82" spans="1:16" x14ac:dyDescent="0.3">
      <c r="A82" s="43" t="s">
        <v>309</v>
      </c>
      <c r="B82" s="43" t="s">
        <v>310</v>
      </c>
      <c r="C82" s="43">
        <v>31</v>
      </c>
      <c r="D82" s="44">
        <v>33513900</v>
      </c>
      <c r="E82" s="43">
        <v>32</v>
      </c>
      <c r="F82" s="43">
        <v>0</v>
      </c>
      <c r="G82" s="44">
        <v>1623692.06</v>
      </c>
      <c r="H82" s="44">
        <v>1083246.7</v>
      </c>
      <c r="I82" s="44">
        <v>632177.37</v>
      </c>
      <c r="J82" s="44">
        <v>451069.33</v>
      </c>
      <c r="K82" s="45">
        <v>1.3459E-2</v>
      </c>
      <c r="L82" s="44">
        <v>8826330.4100000001</v>
      </c>
      <c r="M82" s="44">
        <v>10194539.93</v>
      </c>
      <c r="N82" s="45">
        <v>0.30420000000000003</v>
      </c>
      <c r="O82" s="45">
        <v>3.0814000000000001E-2</v>
      </c>
      <c r="P82" s="45">
        <v>8.4099999999999995E-4</v>
      </c>
    </row>
    <row r="83" spans="1:16" x14ac:dyDescent="0.3">
      <c r="A83" s="43" t="s">
        <v>309</v>
      </c>
      <c r="B83" s="43" t="s">
        <v>310</v>
      </c>
      <c r="C83" s="43">
        <v>31</v>
      </c>
      <c r="D83" s="44">
        <v>33513900</v>
      </c>
      <c r="E83" s="43">
        <v>33</v>
      </c>
      <c r="F83" s="43">
        <v>0</v>
      </c>
      <c r="G83" s="44">
        <v>1666798.4</v>
      </c>
      <c r="H83" s="44">
        <v>1107693.3899999999</v>
      </c>
      <c r="I83" s="44">
        <v>646787.97</v>
      </c>
      <c r="J83" s="44">
        <v>460905.41</v>
      </c>
      <c r="K83" s="45">
        <v>1.3753E-2</v>
      </c>
      <c r="L83" s="44">
        <v>9246990.8599999994</v>
      </c>
      <c r="M83" s="44">
        <v>9328606.3399999999</v>
      </c>
      <c r="N83" s="45">
        <v>0.27839999999999998</v>
      </c>
      <c r="O83" s="45">
        <v>2.9951999999999999E-2</v>
      </c>
      <c r="P83" s="45">
        <v>4.8200000000000001E-4</v>
      </c>
    </row>
    <row r="84" spans="1:16" x14ac:dyDescent="0.3">
      <c r="A84" s="43" t="s">
        <v>309</v>
      </c>
      <c r="B84" s="43" t="s">
        <v>310</v>
      </c>
      <c r="C84" s="43">
        <v>31</v>
      </c>
      <c r="D84" s="44">
        <v>33513900</v>
      </c>
      <c r="E84" s="43">
        <v>34</v>
      </c>
      <c r="F84" s="43">
        <v>0</v>
      </c>
      <c r="G84" s="44">
        <v>1714068.84</v>
      </c>
      <c r="H84" s="44">
        <v>1140443.53</v>
      </c>
      <c r="I84" s="44">
        <v>667027.51</v>
      </c>
      <c r="J84" s="44">
        <v>473416.02</v>
      </c>
      <c r="K84" s="45">
        <v>1.4126E-2</v>
      </c>
      <c r="L84" s="44">
        <v>9680758.7100000009</v>
      </c>
      <c r="M84" s="44">
        <v>8445401.2599999998</v>
      </c>
      <c r="N84" s="45">
        <v>0.252</v>
      </c>
      <c r="O84" s="45">
        <v>3.6007999999999998E-2</v>
      </c>
      <c r="P84" s="45">
        <v>1.7200000000000001E-4</v>
      </c>
    </row>
    <row r="85" spans="1:16" x14ac:dyDescent="0.3">
      <c r="A85" s="43" t="s">
        <v>309</v>
      </c>
      <c r="B85" s="43" t="s">
        <v>310</v>
      </c>
      <c r="C85" s="43">
        <v>31</v>
      </c>
      <c r="D85" s="44">
        <v>33513900</v>
      </c>
      <c r="E85" s="43">
        <v>35</v>
      </c>
      <c r="F85" s="43">
        <v>0</v>
      </c>
      <c r="G85" s="44">
        <v>1763912.81</v>
      </c>
      <c r="H85" s="44">
        <v>1168916.1299999999</v>
      </c>
      <c r="I85" s="44">
        <v>690039.71</v>
      </c>
      <c r="J85" s="44">
        <v>478876.42</v>
      </c>
      <c r="K85" s="45">
        <v>1.4289E-2</v>
      </c>
      <c r="L85" s="44">
        <v>10074406.15</v>
      </c>
      <c r="M85" s="44">
        <v>7599743.04</v>
      </c>
      <c r="N85" s="45">
        <v>0.2268</v>
      </c>
      <c r="O85" s="45">
        <v>2.9901E-2</v>
      </c>
      <c r="P85" s="45">
        <v>3.1700000000000001E-4</v>
      </c>
    </row>
    <row r="86" spans="1:16" x14ac:dyDescent="0.3">
      <c r="A86" s="43" t="s">
        <v>309</v>
      </c>
      <c r="B86" s="43" t="s">
        <v>310</v>
      </c>
      <c r="C86" s="43">
        <v>31</v>
      </c>
      <c r="D86" s="44">
        <v>33513900</v>
      </c>
      <c r="E86" s="43">
        <v>36</v>
      </c>
      <c r="F86" s="43">
        <v>0</v>
      </c>
      <c r="G86" s="44">
        <v>1818225.03</v>
      </c>
      <c r="H86" s="44">
        <v>1204175.68</v>
      </c>
      <c r="I86" s="44">
        <v>709838.86</v>
      </c>
      <c r="J86" s="44">
        <v>494336.82</v>
      </c>
      <c r="K86" s="45">
        <v>1.4749999999999999E-2</v>
      </c>
      <c r="L86" s="44">
        <v>10482992.470000001</v>
      </c>
      <c r="M86" s="44">
        <v>6734677.7000000002</v>
      </c>
      <c r="N86" s="45">
        <v>0.20100000000000001</v>
      </c>
      <c r="O86" s="45">
        <v>2.9964000000000001E-2</v>
      </c>
      <c r="P86" s="45">
        <v>4.7899999999999999E-4</v>
      </c>
    </row>
    <row r="87" spans="1:16" x14ac:dyDescent="0.3">
      <c r="A87" s="43" t="s">
        <v>309</v>
      </c>
      <c r="B87" s="43" t="s">
        <v>310</v>
      </c>
      <c r="C87" s="43">
        <v>31</v>
      </c>
      <c r="D87" s="44">
        <v>33513900</v>
      </c>
      <c r="E87" s="43">
        <v>37</v>
      </c>
      <c r="F87" s="43">
        <v>0</v>
      </c>
      <c r="G87" s="44">
        <v>1861263.14</v>
      </c>
      <c r="H87" s="44">
        <v>1230576.02</v>
      </c>
      <c r="I87" s="44">
        <v>731010.1</v>
      </c>
      <c r="J87" s="44">
        <v>499565.92</v>
      </c>
      <c r="K87" s="45">
        <v>1.4906000000000001E-2</v>
      </c>
      <c r="L87" s="44">
        <v>10865730.17</v>
      </c>
      <c r="M87" s="44">
        <v>5906735.0899999999</v>
      </c>
      <c r="N87" s="45">
        <v>0.1762</v>
      </c>
      <c r="O87" s="45">
        <v>3.6575999999999997E-2</v>
      </c>
      <c r="P87" s="45">
        <v>3.1E-4</v>
      </c>
    </row>
    <row r="88" spans="1:16" x14ac:dyDescent="0.3">
      <c r="A88" s="43" t="s">
        <v>309</v>
      </c>
      <c r="B88" s="43" t="s">
        <v>310</v>
      </c>
      <c r="C88" s="43">
        <v>31</v>
      </c>
      <c r="D88" s="44">
        <v>33513900</v>
      </c>
      <c r="E88" s="43">
        <v>38</v>
      </c>
      <c r="F88" s="43">
        <v>0</v>
      </c>
      <c r="G88" s="44">
        <v>1925689.11</v>
      </c>
      <c r="H88" s="44">
        <v>1278215.47</v>
      </c>
      <c r="I88" s="44">
        <v>760300.81</v>
      </c>
      <c r="J88" s="44">
        <v>517914.66</v>
      </c>
      <c r="K88" s="45">
        <v>1.5454000000000001E-2</v>
      </c>
      <c r="L88" s="44">
        <v>11092064.91</v>
      </c>
      <c r="M88" s="44">
        <v>5213807.57</v>
      </c>
      <c r="N88" s="45">
        <v>0.15559999999999999</v>
      </c>
      <c r="O88" s="45">
        <v>3.1542000000000001E-2</v>
      </c>
      <c r="P88" s="45">
        <v>3.6900000000000002E-4</v>
      </c>
    </row>
    <row r="89" spans="1:16" x14ac:dyDescent="0.3">
      <c r="A89" s="43" t="s">
        <v>309</v>
      </c>
      <c r="B89" s="43" t="s">
        <v>310</v>
      </c>
      <c r="C89" s="43">
        <v>31</v>
      </c>
      <c r="D89" s="44">
        <v>33513900</v>
      </c>
      <c r="E89" s="43">
        <v>39</v>
      </c>
      <c r="F89" s="43">
        <v>0</v>
      </c>
      <c r="G89" s="44">
        <v>1977047.69</v>
      </c>
      <c r="H89" s="44">
        <v>1316295.45</v>
      </c>
      <c r="I89" s="44">
        <v>785501.41</v>
      </c>
      <c r="J89" s="44">
        <v>530794.05000000005</v>
      </c>
      <c r="K89" s="45">
        <v>1.5838000000000001E-2</v>
      </c>
      <c r="L89" s="44">
        <v>11331363.17</v>
      </c>
      <c r="M89" s="44">
        <v>4520983.9400000004</v>
      </c>
      <c r="N89" s="45">
        <v>0.13489999999999999</v>
      </c>
      <c r="O89" s="45">
        <v>3.6630000000000003E-2</v>
      </c>
      <c r="P89" s="45">
        <v>3.57E-4</v>
      </c>
    </row>
    <row r="90" spans="1:16" x14ac:dyDescent="0.3">
      <c r="A90" s="43" t="s">
        <v>309</v>
      </c>
      <c r="B90" s="43" t="s">
        <v>310</v>
      </c>
      <c r="C90" s="43">
        <v>31</v>
      </c>
      <c r="D90" s="44">
        <v>33513900</v>
      </c>
      <c r="E90" s="43">
        <v>40</v>
      </c>
      <c r="F90" s="43">
        <v>0</v>
      </c>
      <c r="G90" s="44">
        <v>2019770.27</v>
      </c>
      <c r="H90" s="44">
        <v>1340768.23</v>
      </c>
      <c r="I90" s="44">
        <v>802871.35</v>
      </c>
      <c r="J90" s="44">
        <v>537896.88</v>
      </c>
      <c r="K90" s="45">
        <v>1.6049999999999998E-2</v>
      </c>
      <c r="L90" s="44">
        <v>11550188.119999999</v>
      </c>
      <c r="M90" s="44">
        <v>3857269.61</v>
      </c>
      <c r="N90" s="45">
        <v>0.11509999999999999</v>
      </c>
      <c r="O90" s="45">
        <v>3.8102999999999998E-2</v>
      </c>
      <c r="P90" s="45">
        <v>3.1700000000000001E-4</v>
      </c>
    </row>
    <row r="91" spans="1:16" x14ac:dyDescent="0.3">
      <c r="A91" s="43" t="s">
        <v>309</v>
      </c>
      <c r="B91" s="43" t="s">
        <v>310</v>
      </c>
      <c r="C91" s="43">
        <v>31</v>
      </c>
      <c r="D91" s="44">
        <v>33513900</v>
      </c>
      <c r="E91" s="43">
        <v>41</v>
      </c>
      <c r="F91" s="43">
        <v>0</v>
      </c>
      <c r="G91" s="44">
        <v>2052267.35</v>
      </c>
      <c r="H91" s="44">
        <v>1363310.8</v>
      </c>
      <c r="I91" s="44">
        <v>814967.16</v>
      </c>
      <c r="J91" s="44">
        <v>548343.64</v>
      </c>
      <c r="K91" s="45">
        <v>1.6362000000000002E-2</v>
      </c>
      <c r="L91" s="44">
        <v>11756736.039999999</v>
      </c>
      <c r="M91" s="44">
        <v>3216057.82</v>
      </c>
      <c r="N91" s="45">
        <v>9.6000000000000002E-2</v>
      </c>
      <c r="O91" s="45">
        <v>3.0502999999999999E-2</v>
      </c>
      <c r="P91" s="45">
        <v>2.2499999999999999E-4</v>
      </c>
    </row>
    <row r="92" spans="1:16" x14ac:dyDescent="0.3">
      <c r="A92" s="43" t="s">
        <v>309</v>
      </c>
      <c r="B92" s="43" t="s">
        <v>310</v>
      </c>
      <c r="C92" s="43">
        <v>31</v>
      </c>
      <c r="D92" s="44">
        <v>33513900</v>
      </c>
      <c r="E92" s="43">
        <v>42</v>
      </c>
      <c r="F92" s="43">
        <v>0</v>
      </c>
      <c r="G92" s="44">
        <v>2100415.98</v>
      </c>
      <c r="H92" s="44">
        <v>1398353.32</v>
      </c>
      <c r="I92" s="44">
        <v>838539.72</v>
      </c>
      <c r="J92" s="44">
        <v>559813.6</v>
      </c>
      <c r="K92" s="45">
        <v>1.6704E-2</v>
      </c>
      <c r="L92" s="44">
        <v>12163088.83</v>
      </c>
      <c r="M92" s="44">
        <v>2359389.59</v>
      </c>
      <c r="N92" s="45">
        <v>7.0400000000000004E-2</v>
      </c>
      <c r="O92" s="45">
        <v>3.2495999999999997E-2</v>
      </c>
      <c r="P92" s="45">
        <v>2.2000000000000001E-4</v>
      </c>
    </row>
    <row r="93" spans="1:16" x14ac:dyDescent="0.3">
      <c r="A93" s="43" t="s">
        <v>311</v>
      </c>
      <c r="B93" s="43" t="s">
        <v>312</v>
      </c>
      <c r="C93" s="43">
        <v>43</v>
      </c>
      <c r="D93" s="44">
        <v>45567800</v>
      </c>
      <c r="E93" s="43">
        <v>0</v>
      </c>
      <c r="F93" s="43">
        <v>0</v>
      </c>
      <c r="G93" s="44">
        <v>0</v>
      </c>
      <c r="H93" s="44">
        <v>0</v>
      </c>
      <c r="I93" s="44">
        <v>0</v>
      </c>
      <c r="J93" s="44">
        <v>0</v>
      </c>
      <c r="K93" s="45">
        <v>0</v>
      </c>
      <c r="L93" s="44">
        <v>117715.37</v>
      </c>
      <c r="M93" s="44">
        <v>45450084.630000003</v>
      </c>
      <c r="N93" s="45">
        <v>0.99739999999999995</v>
      </c>
      <c r="O93" s="45">
        <v>1.6962000000000001E-2</v>
      </c>
      <c r="P93" s="45">
        <v>0</v>
      </c>
    </row>
    <row r="94" spans="1:16" x14ac:dyDescent="0.3">
      <c r="A94" s="43" t="s">
        <v>311</v>
      </c>
      <c r="B94" s="43" t="s">
        <v>312</v>
      </c>
      <c r="C94" s="43">
        <v>43</v>
      </c>
      <c r="D94" s="44">
        <v>45567800</v>
      </c>
      <c r="E94" s="43">
        <v>1</v>
      </c>
      <c r="F94" s="43">
        <v>0</v>
      </c>
      <c r="G94" s="44">
        <v>4323.82</v>
      </c>
      <c r="H94" s="44">
        <v>2433.2800000000002</v>
      </c>
      <c r="I94" s="44">
        <v>0</v>
      </c>
      <c r="J94" s="44">
        <v>2433.2800000000002</v>
      </c>
      <c r="K94" s="45">
        <v>5.3000000000000001E-5</v>
      </c>
      <c r="L94" s="44">
        <v>390787.95</v>
      </c>
      <c r="M94" s="44">
        <v>44625874.619999997</v>
      </c>
      <c r="N94" s="45">
        <v>0.97929999999999995</v>
      </c>
      <c r="O94" s="45">
        <v>2.0405E-2</v>
      </c>
      <c r="P94" s="45">
        <v>6.7999999999999999E-5</v>
      </c>
    </row>
    <row r="95" spans="1:16" x14ac:dyDescent="0.3">
      <c r="A95" s="43" t="s">
        <v>311</v>
      </c>
      <c r="B95" s="43" t="s">
        <v>312</v>
      </c>
      <c r="C95" s="43">
        <v>43</v>
      </c>
      <c r="D95" s="44">
        <v>45567800</v>
      </c>
      <c r="E95" s="43">
        <v>2</v>
      </c>
      <c r="F95" s="43">
        <v>0</v>
      </c>
      <c r="G95" s="44">
        <v>9804.7000000000007</v>
      </c>
      <c r="H95" s="44">
        <v>6510</v>
      </c>
      <c r="I95" s="44">
        <v>0</v>
      </c>
      <c r="J95" s="44">
        <v>6510</v>
      </c>
      <c r="K95" s="45">
        <v>1.4300000000000001E-4</v>
      </c>
      <c r="L95" s="44">
        <v>661898.62</v>
      </c>
      <c r="M95" s="44">
        <v>43802469.479999997</v>
      </c>
      <c r="N95" s="45">
        <v>0.96130000000000004</v>
      </c>
      <c r="O95" s="45">
        <v>1.9682000000000002E-2</v>
      </c>
      <c r="P95" s="45">
        <v>8.2000000000000001E-5</v>
      </c>
    </row>
    <row r="96" spans="1:16" x14ac:dyDescent="0.3">
      <c r="A96" s="43" t="s">
        <v>311</v>
      </c>
      <c r="B96" s="43" t="s">
        <v>312</v>
      </c>
      <c r="C96" s="43">
        <v>43</v>
      </c>
      <c r="D96" s="44">
        <v>45567800</v>
      </c>
      <c r="E96" s="43">
        <v>3</v>
      </c>
      <c r="F96" s="43">
        <v>0</v>
      </c>
      <c r="G96" s="44">
        <v>20134.66</v>
      </c>
      <c r="H96" s="44">
        <v>13949.6</v>
      </c>
      <c r="I96" s="44">
        <v>0</v>
      </c>
      <c r="J96" s="44">
        <v>13949.6</v>
      </c>
      <c r="K96" s="45">
        <v>3.0600000000000001E-4</v>
      </c>
      <c r="L96" s="44">
        <v>837305.59</v>
      </c>
      <c r="M96" s="44">
        <v>43069918.950000003</v>
      </c>
      <c r="N96" s="45">
        <v>0.94520000000000004</v>
      </c>
      <c r="O96" s="45">
        <v>2.0081000000000002E-2</v>
      </c>
      <c r="P96" s="45">
        <v>1.34E-4</v>
      </c>
    </row>
    <row r="97" spans="1:16" x14ac:dyDescent="0.3">
      <c r="A97" s="43" t="s">
        <v>311</v>
      </c>
      <c r="B97" s="43" t="s">
        <v>312</v>
      </c>
      <c r="C97" s="43">
        <v>43</v>
      </c>
      <c r="D97" s="44">
        <v>45567800</v>
      </c>
      <c r="E97" s="43">
        <v>4</v>
      </c>
      <c r="F97" s="43">
        <v>0</v>
      </c>
      <c r="G97" s="44">
        <v>31852.27</v>
      </c>
      <c r="H97" s="44">
        <v>20426.25</v>
      </c>
      <c r="I97" s="44">
        <v>4416.2299999999996</v>
      </c>
      <c r="J97" s="44">
        <v>16010.02</v>
      </c>
      <c r="K97" s="45">
        <v>3.5100000000000002E-4</v>
      </c>
      <c r="L97" s="44">
        <v>1221804.45</v>
      </c>
      <c r="M97" s="44">
        <v>42126888.880000003</v>
      </c>
      <c r="N97" s="45">
        <v>0.92449999999999999</v>
      </c>
      <c r="O97" s="45">
        <v>2.5856000000000001E-2</v>
      </c>
      <c r="P97" s="45">
        <v>7.7000000000000001E-5</v>
      </c>
    </row>
    <row r="98" spans="1:16" x14ac:dyDescent="0.3">
      <c r="A98" s="43" t="s">
        <v>311</v>
      </c>
      <c r="B98" s="43" t="s">
        <v>312</v>
      </c>
      <c r="C98" s="43">
        <v>43</v>
      </c>
      <c r="D98" s="44">
        <v>45567800</v>
      </c>
      <c r="E98" s="43">
        <v>5</v>
      </c>
      <c r="F98" s="43">
        <v>0</v>
      </c>
      <c r="G98" s="44">
        <v>45368.58</v>
      </c>
      <c r="H98" s="44">
        <v>28900.7</v>
      </c>
      <c r="I98" s="44">
        <v>9178.51</v>
      </c>
      <c r="J98" s="44">
        <v>19722.189999999999</v>
      </c>
      <c r="K98" s="45">
        <v>4.3300000000000001E-4</v>
      </c>
      <c r="L98" s="44">
        <v>1415727.14</v>
      </c>
      <c r="M98" s="44">
        <v>41372636.270000003</v>
      </c>
      <c r="N98" s="45">
        <v>0.90790000000000004</v>
      </c>
      <c r="O98" s="45">
        <v>2.3772999999999999E-2</v>
      </c>
      <c r="P98" s="45">
        <v>6.7000000000000002E-5</v>
      </c>
    </row>
    <row r="99" spans="1:16" x14ac:dyDescent="0.3">
      <c r="A99" s="43" t="s">
        <v>311</v>
      </c>
      <c r="B99" s="43" t="s">
        <v>312</v>
      </c>
      <c r="C99" s="43">
        <v>43</v>
      </c>
      <c r="D99" s="44">
        <v>45567800</v>
      </c>
      <c r="E99" s="43">
        <v>6</v>
      </c>
      <c r="F99" s="43">
        <v>0</v>
      </c>
      <c r="G99" s="44">
        <v>70910.460000000006</v>
      </c>
      <c r="H99" s="44">
        <v>46997.65</v>
      </c>
      <c r="I99" s="44">
        <v>18697.87</v>
      </c>
      <c r="J99" s="44">
        <v>28299.79</v>
      </c>
      <c r="K99" s="45">
        <v>6.2100000000000002E-4</v>
      </c>
      <c r="L99" s="44">
        <v>1706826.18</v>
      </c>
      <c r="M99" s="44">
        <v>40509181.759999998</v>
      </c>
      <c r="N99" s="45">
        <v>0.88900000000000001</v>
      </c>
      <c r="O99" s="45">
        <v>2.3351E-2</v>
      </c>
      <c r="P99" s="45">
        <v>2.1100000000000001E-4</v>
      </c>
    </row>
    <row r="100" spans="1:16" x14ac:dyDescent="0.3">
      <c r="A100" s="43" t="s">
        <v>311</v>
      </c>
      <c r="B100" s="43" t="s">
        <v>312</v>
      </c>
      <c r="C100" s="43">
        <v>43</v>
      </c>
      <c r="D100" s="44">
        <v>45567800</v>
      </c>
      <c r="E100" s="43">
        <v>7</v>
      </c>
      <c r="F100" s="43">
        <v>0</v>
      </c>
      <c r="G100" s="44">
        <v>102761.55</v>
      </c>
      <c r="H100" s="44">
        <v>69654.990000000005</v>
      </c>
      <c r="I100" s="44">
        <v>33885.29</v>
      </c>
      <c r="J100" s="44">
        <v>35769.69</v>
      </c>
      <c r="K100" s="45">
        <v>7.85E-4</v>
      </c>
      <c r="L100" s="44">
        <v>2077525.74</v>
      </c>
      <c r="M100" s="44">
        <v>39559817.509999998</v>
      </c>
      <c r="N100" s="45">
        <v>0.86819999999999997</v>
      </c>
      <c r="O100" s="45">
        <v>2.496E-2</v>
      </c>
      <c r="P100" s="45">
        <v>9.3999999999999994E-5</v>
      </c>
    </row>
    <row r="101" spans="1:16" x14ac:dyDescent="0.3">
      <c r="A101" s="43" t="s">
        <v>311</v>
      </c>
      <c r="B101" s="43" t="s">
        <v>312</v>
      </c>
      <c r="C101" s="43">
        <v>43</v>
      </c>
      <c r="D101" s="44">
        <v>45567800</v>
      </c>
      <c r="E101" s="43">
        <v>8</v>
      </c>
      <c r="F101" s="43">
        <v>0</v>
      </c>
      <c r="G101" s="44">
        <v>146083.62</v>
      </c>
      <c r="H101" s="44">
        <v>100214.14</v>
      </c>
      <c r="I101" s="44">
        <v>50065.9</v>
      </c>
      <c r="J101" s="44">
        <v>50148.24</v>
      </c>
      <c r="K101" s="45">
        <v>1.101E-3</v>
      </c>
      <c r="L101" s="44">
        <v>2369747.7599999998</v>
      </c>
      <c r="M101" s="44">
        <v>38677459.82</v>
      </c>
      <c r="N101" s="45">
        <v>0.8488</v>
      </c>
      <c r="O101" s="45">
        <v>2.2627000000000001E-2</v>
      </c>
      <c r="P101" s="45">
        <v>1.7699999999999999E-4</v>
      </c>
    </row>
    <row r="102" spans="1:16" x14ac:dyDescent="0.3">
      <c r="A102" s="43" t="s">
        <v>311</v>
      </c>
      <c r="B102" s="43" t="s">
        <v>312</v>
      </c>
      <c r="C102" s="43">
        <v>43</v>
      </c>
      <c r="D102" s="44">
        <v>45567800</v>
      </c>
      <c r="E102" s="43">
        <v>9</v>
      </c>
      <c r="F102" s="43">
        <v>0</v>
      </c>
      <c r="G102" s="44">
        <v>183094.94</v>
      </c>
      <c r="H102" s="44">
        <v>122820.13</v>
      </c>
      <c r="I102" s="44">
        <v>67009.58</v>
      </c>
      <c r="J102" s="44">
        <v>55810.55</v>
      </c>
      <c r="K102" s="45">
        <v>1.225E-3</v>
      </c>
      <c r="L102" s="44">
        <v>2656432.9300000002</v>
      </c>
      <c r="M102" s="44">
        <v>37806949.719999999</v>
      </c>
      <c r="N102" s="45">
        <v>0.82969999999999999</v>
      </c>
      <c r="O102" s="45">
        <v>2.7397000000000001E-2</v>
      </c>
      <c r="P102" s="45">
        <v>1.1E-4</v>
      </c>
    </row>
    <row r="103" spans="1:16" x14ac:dyDescent="0.3">
      <c r="A103" s="43" t="s">
        <v>311</v>
      </c>
      <c r="B103" s="43" t="s">
        <v>312</v>
      </c>
      <c r="C103" s="43">
        <v>43</v>
      </c>
      <c r="D103" s="44">
        <v>45567800</v>
      </c>
      <c r="E103" s="43">
        <v>10</v>
      </c>
      <c r="F103" s="43">
        <v>0</v>
      </c>
      <c r="G103" s="44">
        <v>224023.2</v>
      </c>
      <c r="H103" s="44">
        <v>149824.37</v>
      </c>
      <c r="I103" s="44">
        <v>82405.289999999994</v>
      </c>
      <c r="J103" s="44">
        <v>67419.08</v>
      </c>
      <c r="K103" s="45">
        <v>1.48E-3</v>
      </c>
      <c r="L103" s="44">
        <v>2975397.37</v>
      </c>
      <c r="M103" s="44">
        <v>36900243.420000002</v>
      </c>
      <c r="N103" s="45">
        <v>0.80979999999999996</v>
      </c>
      <c r="O103" s="45">
        <v>2.3698E-2</v>
      </c>
      <c r="P103" s="45">
        <v>3.0400000000000002E-4</v>
      </c>
    </row>
    <row r="104" spans="1:16" x14ac:dyDescent="0.3">
      <c r="A104" s="43" t="s">
        <v>311</v>
      </c>
      <c r="B104" s="43" t="s">
        <v>312</v>
      </c>
      <c r="C104" s="43">
        <v>43</v>
      </c>
      <c r="D104" s="44">
        <v>45567800</v>
      </c>
      <c r="E104" s="43">
        <v>11</v>
      </c>
      <c r="F104" s="43">
        <v>0</v>
      </c>
      <c r="G104" s="44">
        <v>270794.3</v>
      </c>
      <c r="H104" s="44">
        <v>178052.3</v>
      </c>
      <c r="I104" s="44">
        <v>98294.62</v>
      </c>
      <c r="J104" s="44">
        <v>79757.679999999993</v>
      </c>
      <c r="K104" s="45">
        <v>1.75E-3</v>
      </c>
      <c r="L104" s="44">
        <v>3416423.31</v>
      </c>
      <c r="M104" s="44">
        <v>35865632.789999999</v>
      </c>
      <c r="N104" s="45">
        <v>0.78710000000000002</v>
      </c>
      <c r="O104" s="45">
        <v>2.0650000000000002E-2</v>
      </c>
      <c r="P104" s="45">
        <v>2.7700000000000001E-4</v>
      </c>
    </row>
    <row r="105" spans="1:16" x14ac:dyDescent="0.3">
      <c r="A105" s="43" t="s">
        <v>311</v>
      </c>
      <c r="B105" s="43" t="s">
        <v>312</v>
      </c>
      <c r="C105" s="43">
        <v>43</v>
      </c>
      <c r="D105" s="44">
        <v>45567800</v>
      </c>
      <c r="E105" s="43">
        <v>12</v>
      </c>
      <c r="F105" s="43">
        <v>0</v>
      </c>
      <c r="G105" s="44">
        <v>336004.42</v>
      </c>
      <c r="H105" s="44">
        <v>221052.28</v>
      </c>
      <c r="I105" s="44">
        <v>130114.27</v>
      </c>
      <c r="J105" s="44">
        <v>90938.01</v>
      </c>
      <c r="K105" s="45">
        <v>1.9959999999999999E-3</v>
      </c>
      <c r="L105" s="44">
        <v>3725700.35</v>
      </c>
      <c r="M105" s="44">
        <v>34944332.030000001</v>
      </c>
      <c r="N105" s="45">
        <v>0.76690000000000003</v>
      </c>
      <c r="O105" s="45">
        <v>2.3290000000000002E-2</v>
      </c>
      <c r="P105" s="45">
        <v>1.35E-4</v>
      </c>
    </row>
    <row r="106" spans="1:16" x14ac:dyDescent="0.3">
      <c r="A106" s="43" t="s">
        <v>311</v>
      </c>
      <c r="B106" s="43" t="s">
        <v>312</v>
      </c>
      <c r="C106" s="43">
        <v>43</v>
      </c>
      <c r="D106" s="44">
        <v>45567800</v>
      </c>
      <c r="E106" s="43">
        <v>13</v>
      </c>
      <c r="F106" s="43">
        <v>0</v>
      </c>
      <c r="G106" s="44">
        <v>395520.75</v>
      </c>
      <c r="H106" s="44">
        <v>257353.83</v>
      </c>
      <c r="I106" s="44">
        <v>153137.29</v>
      </c>
      <c r="J106" s="44">
        <v>104216.54</v>
      </c>
      <c r="K106" s="45">
        <v>2.287E-3</v>
      </c>
      <c r="L106" s="44">
        <v>4057741.24</v>
      </c>
      <c r="M106" s="44">
        <v>34005961.210000001</v>
      </c>
      <c r="N106" s="45">
        <v>0.74629999999999996</v>
      </c>
      <c r="O106" s="45">
        <v>2.2464999999999999E-2</v>
      </c>
      <c r="P106" s="45">
        <v>2.5300000000000002E-4</v>
      </c>
    </row>
    <row r="107" spans="1:16" x14ac:dyDescent="0.3">
      <c r="A107" s="43" t="s">
        <v>311</v>
      </c>
      <c r="B107" s="43" t="s">
        <v>312</v>
      </c>
      <c r="C107" s="43">
        <v>43</v>
      </c>
      <c r="D107" s="44">
        <v>45567800</v>
      </c>
      <c r="E107" s="43">
        <v>14</v>
      </c>
      <c r="F107" s="43">
        <v>0</v>
      </c>
      <c r="G107" s="44">
        <v>478664.17</v>
      </c>
      <c r="H107" s="44">
        <v>303158.8</v>
      </c>
      <c r="I107" s="44">
        <v>185941.73</v>
      </c>
      <c r="J107" s="44">
        <v>117217.07</v>
      </c>
      <c r="K107" s="45">
        <v>2.5720000000000001E-3</v>
      </c>
      <c r="L107" s="44">
        <v>4448999.67</v>
      </c>
      <c r="M107" s="44">
        <v>32984745.77</v>
      </c>
      <c r="N107" s="45">
        <v>0.72389999999999999</v>
      </c>
      <c r="O107" s="45">
        <v>2.4746000000000001E-2</v>
      </c>
      <c r="P107" s="45">
        <v>5.0600000000000005E-4</v>
      </c>
    </row>
    <row r="108" spans="1:16" x14ac:dyDescent="0.3">
      <c r="A108" s="43" t="s">
        <v>311</v>
      </c>
      <c r="B108" s="43" t="s">
        <v>312</v>
      </c>
      <c r="C108" s="43">
        <v>43</v>
      </c>
      <c r="D108" s="44">
        <v>45567800</v>
      </c>
      <c r="E108" s="43">
        <v>15</v>
      </c>
      <c r="F108" s="43">
        <v>0</v>
      </c>
      <c r="G108" s="44">
        <v>541324.93000000005</v>
      </c>
      <c r="H108" s="44">
        <v>345267.88</v>
      </c>
      <c r="I108" s="44">
        <v>212891.43</v>
      </c>
      <c r="J108" s="44">
        <v>132376.45000000001</v>
      </c>
      <c r="K108" s="45">
        <v>2.905E-3</v>
      </c>
      <c r="L108" s="44">
        <v>4945665.78</v>
      </c>
      <c r="M108" s="44">
        <v>31878605.289999999</v>
      </c>
      <c r="N108" s="45">
        <v>0.6996</v>
      </c>
      <c r="O108" s="45">
        <v>2.2183999999999999E-2</v>
      </c>
      <c r="P108" s="45">
        <v>3.9300000000000001E-4</v>
      </c>
    </row>
    <row r="109" spans="1:16" x14ac:dyDescent="0.3">
      <c r="A109" s="43" t="s">
        <v>311</v>
      </c>
      <c r="B109" s="43" t="s">
        <v>312</v>
      </c>
      <c r="C109" s="43">
        <v>43</v>
      </c>
      <c r="D109" s="44">
        <v>45567800</v>
      </c>
      <c r="E109" s="43">
        <v>16</v>
      </c>
      <c r="F109" s="43">
        <v>0</v>
      </c>
      <c r="G109" s="44">
        <v>609194.22</v>
      </c>
      <c r="H109" s="44">
        <v>390700.44</v>
      </c>
      <c r="I109" s="44">
        <v>246492.11</v>
      </c>
      <c r="J109" s="44">
        <v>144208.32999999999</v>
      </c>
      <c r="K109" s="45">
        <v>3.1649999999999998E-3</v>
      </c>
      <c r="L109" s="44">
        <v>5316144.1500000004</v>
      </c>
      <c r="M109" s="44">
        <v>30893444.030000001</v>
      </c>
      <c r="N109" s="45">
        <v>0.67800000000000005</v>
      </c>
      <c r="O109" s="45">
        <v>2.3705E-2</v>
      </c>
      <c r="P109" s="45">
        <v>2.41E-4</v>
      </c>
    </row>
    <row r="110" spans="1:16" x14ac:dyDescent="0.3">
      <c r="A110" s="43" t="s">
        <v>311</v>
      </c>
      <c r="B110" s="43" t="s">
        <v>312</v>
      </c>
      <c r="C110" s="43">
        <v>43</v>
      </c>
      <c r="D110" s="44">
        <v>45567800</v>
      </c>
      <c r="E110" s="43">
        <v>17</v>
      </c>
      <c r="F110" s="43">
        <v>0</v>
      </c>
      <c r="G110" s="44">
        <v>687253.46</v>
      </c>
      <c r="H110" s="44">
        <v>434563.07</v>
      </c>
      <c r="I110" s="44">
        <v>282250.2</v>
      </c>
      <c r="J110" s="44">
        <v>152312.87</v>
      </c>
      <c r="K110" s="45">
        <v>3.3430000000000001E-3</v>
      </c>
      <c r="L110" s="44">
        <v>5649153.5599999996</v>
      </c>
      <c r="M110" s="44">
        <v>29935561.780000001</v>
      </c>
      <c r="N110" s="45">
        <v>0.65690000000000004</v>
      </c>
      <c r="O110" s="45">
        <v>3.0612E-2</v>
      </c>
      <c r="P110" s="45">
        <v>1.6799999999999999E-4</v>
      </c>
    </row>
    <row r="111" spans="1:16" x14ac:dyDescent="0.3">
      <c r="A111" s="43" t="s">
        <v>311</v>
      </c>
      <c r="B111" s="43" t="s">
        <v>312</v>
      </c>
      <c r="C111" s="43">
        <v>43</v>
      </c>
      <c r="D111" s="44">
        <v>45567800</v>
      </c>
      <c r="E111" s="43">
        <v>18</v>
      </c>
      <c r="F111" s="43">
        <v>0</v>
      </c>
      <c r="G111" s="44">
        <v>760610.42</v>
      </c>
      <c r="H111" s="44">
        <v>475029.57</v>
      </c>
      <c r="I111" s="44">
        <v>311057.2</v>
      </c>
      <c r="J111" s="44">
        <v>163972.37</v>
      </c>
      <c r="K111" s="45">
        <v>3.5980000000000001E-3</v>
      </c>
      <c r="L111" s="44">
        <v>6160962.1100000003</v>
      </c>
      <c r="M111" s="44">
        <v>28803582.670000002</v>
      </c>
      <c r="N111" s="45">
        <v>0.6321</v>
      </c>
      <c r="O111" s="45">
        <v>2.5579000000000001E-2</v>
      </c>
      <c r="P111" s="45">
        <v>3.4400000000000001E-4</v>
      </c>
    </row>
    <row r="112" spans="1:16" x14ac:dyDescent="0.3">
      <c r="A112" s="43" t="s">
        <v>311</v>
      </c>
      <c r="B112" s="43" t="s">
        <v>312</v>
      </c>
      <c r="C112" s="43">
        <v>43</v>
      </c>
      <c r="D112" s="44">
        <v>45567800</v>
      </c>
      <c r="E112" s="43">
        <v>19</v>
      </c>
      <c r="F112" s="43">
        <v>0</v>
      </c>
      <c r="G112" s="44">
        <v>894841.49</v>
      </c>
      <c r="H112" s="44">
        <v>560852.53</v>
      </c>
      <c r="I112" s="44">
        <v>366552.21</v>
      </c>
      <c r="J112" s="44">
        <v>194300.32</v>
      </c>
      <c r="K112" s="45">
        <v>4.2640000000000004E-3</v>
      </c>
      <c r="L112" s="44">
        <v>6665656.9100000001</v>
      </c>
      <c r="M112" s="44">
        <v>27617843.199999999</v>
      </c>
      <c r="N112" s="45">
        <v>0.60609999999999997</v>
      </c>
      <c r="O112" s="45">
        <v>3.048E-2</v>
      </c>
      <c r="P112" s="45">
        <v>6.9099999999999999E-4</v>
      </c>
    </row>
    <row r="113" spans="1:16" x14ac:dyDescent="0.3">
      <c r="A113" s="43" t="s">
        <v>311</v>
      </c>
      <c r="B113" s="43" t="s">
        <v>312</v>
      </c>
      <c r="C113" s="43">
        <v>43</v>
      </c>
      <c r="D113" s="44">
        <v>45567800</v>
      </c>
      <c r="E113" s="43">
        <v>20</v>
      </c>
      <c r="F113" s="43">
        <v>0</v>
      </c>
      <c r="G113" s="44">
        <v>1016770.54</v>
      </c>
      <c r="H113" s="44">
        <v>644177.73</v>
      </c>
      <c r="I113" s="44">
        <v>418614.35</v>
      </c>
      <c r="J113" s="44">
        <v>225563.37</v>
      </c>
      <c r="K113" s="45">
        <v>4.9500000000000004E-3</v>
      </c>
      <c r="L113" s="44">
        <v>7274200.9800000004</v>
      </c>
      <c r="M113" s="44">
        <v>26340556.48</v>
      </c>
      <c r="N113" s="45">
        <v>0.57809999999999995</v>
      </c>
      <c r="O113" s="45">
        <v>3.1362000000000001E-2</v>
      </c>
      <c r="P113" s="45">
        <v>3.3199999999999999E-4</v>
      </c>
    </row>
    <row r="114" spans="1:16" x14ac:dyDescent="0.3">
      <c r="A114" s="43" t="s">
        <v>311</v>
      </c>
      <c r="B114" s="43" t="s">
        <v>312</v>
      </c>
      <c r="C114" s="43">
        <v>43</v>
      </c>
      <c r="D114" s="44">
        <v>45567800</v>
      </c>
      <c r="E114" s="43">
        <v>21</v>
      </c>
      <c r="F114" s="43">
        <v>0</v>
      </c>
      <c r="G114" s="44">
        <v>1093151.8700000001</v>
      </c>
      <c r="H114" s="44">
        <v>687866.91</v>
      </c>
      <c r="I114" s="44">
        <v>446647.56</v>
      </c>
      <c r="J114" s="44">
        <v>241219.35</v>
      </c>
      <c r="K114" s="45">
        <v>5.2940000000000001E-3</v>
      </c>
      <c r="L114" s="44">
        <v>7920164.8499999996</v>
      </c>
      <c r="M114" s="44">
        <v>25071397.68</v>
      </c>
      <c r="N114" s="45">
        <v>0.55020000000000002</v>
      </c>
      <c r="O114" s="45">
        <v>2.2384999999999999E-2</v>
      </c>
      <c r="P114" s="45">
        <v>3.5100000000000002E-4</v>
      </c>
    </row>
    <row r="115" spans="1:16" x14ac:dyDescent="0.3">
      <c r="A115" s="43" t="s">
        <v>311</v>
      </c>
      <c r="B115" s="43" t="s">
        <v>312</v>
      </c>
      <c r="C115" s="43">
        <v>43</v>
      </c>
      <c r="D115" s="44">
        <v>45567800</v>
      </c>
      <c r="E115" s="43">
        <v>22</v>
      </c>
      <c r="F115" s="43">
        <v>0</v>
      </c>
      <c r="G115" s="44">
        <v>1170611.8799999999</v>
      </c>
      <c r="H115" s="44">
        <v>739181.48</v>
      </c>
      <c r="I115" s="44">
        <v>470244.35</v>
      </c>
      <c r="J115" s="44">
        <v>268937.13</v>
      </c>
      <c r="K115" s="45">
        <v>5.9020000000000001E-3</v>
      </c>
      <c r="L115" s="44">
        <v>8219309.21</v>
      </c>
      <c r="M115" s="44">
        <v>24147979.719999999</v>
      </c>
      <c r="N115" s="45">
        <v>0.52990000000000004</v>
      </c>
      <c r="O115" s="45">
        <v>2.545E-2</v>
      </c>
      <c r="P115" s="45">
        <v>5.3399999999999997E-4</v>
      </c>
    </row>
    <row r="116" spans="1:16" x14ac:dyDescent="0.3">
      <c r="A116" s="43" t="s">
        <v>311</v>
      </c>
      <c r="B116" s="43" t="s">
        <v>312</v>
      </c>
      <c r="C116" s="43">
        <v>43</v>
      </c>
      <c r="D116" s="44">
        <v>45567800</v>
      </c>
      <c r="E116" s="43">
        <v>23</v>
      </c>
      <c r="F116" s="43">
        <v>0</v>
      </c>
      <c r="G116" s="44">
        <v>1260975.6399999999</v>
      </c>
      <c r="H116" s="44">
        <v>801032.51</v>
      </c>
      <c r="I116" s="44">
        <v>502139.57</v>
      </c>
      <c r="J116" s="44">
        <v>298892.94</v>
      </c>
      <c r="K116" s="45">
        <v>6.5589999999999997E-3</v>
      </c>
      <c r="L116" s="44">
        <v>8745436.7599999998</v>
      </c>
      <c r="M116" s="44">
        <v>22984674.800000001</v>
      </c>
      <c r="N116" s="45">
        <v>0.50439999999999996</v>
      </c>
      <c r="O116" s="45">
        <v>2.4992E-2</v>
      </c>
      <c r="P116" s="45">
        <v>4.7899999999999999E-4</v>
      </c>
    </row>
    <row r="117" spans="1:16" x14ac:dyDescent="0.3">
      <c r="A117" s="43" t="s">
        <v>311</v>
      </c>
      <c r="B117" s="43" t="s">
        <v>312</v>
      </c>
      <c r="C117" s="43">
        <v>43</v>
      </c>
      <c r="D117" s="44">
        <v>45567800</v>
      </c>
      <c r="E117" s="43">
        <v>24</v>
      </c>
      <c r="F117" s="43">
        <v>0</v>
      </c>
      <c r="G117" s="44">
        <v>1388040.26</v>
      </c>
      <c r="H117" s="44">
        <v>889339.45</v>
      </c>
      <c r="I117" s="44">
        <v>545038.89</v>
      </c>
      <c r="J117" s="44">
        <v>344300.57</v>
      </c>
      <c r="K117" s="45">
        <v>7.5560000000000002E-3</v>
      </c>
      <c r="L117" s="44">
        <v>9328310.6300000008</v>
      </c>
      <c r="M117" s="44">
        <v>21727922.710000001</v>
      </c>
      <c r="N117" s="45">
        <v>0.4768</v>
      </c>
      <c r="O117" s="45">
        <v>2.4006E-2</v>
      </c>
      <c r="P117" s="45">
        <v>6.7199999999999996E-4</v>
      </c>
    </row>
    <row r="118" spans="1:16" x14ac:dyDescent="0.3">
      <c r="A118" s="43" t="s">
        <v>311</v>
      </c>
      <c r="B118" s="43" t="s">
        <v>312</v>
      </c>
      <c r="C118" s="43">
        <v>43</v>
      </c>
      <c r="D118" s="44">
        <v>45567800</v>
      </c>
      <c r="E118" s="43">
        <v>25</v>
      </c>
      <c r="F118" s="43">
        <v>0</v>
      </c>
      <c r="G118" s="44">
        <v>1502115.27</v>
      </c>
      <c r="H118" s="44">
        <v>956293.52</v>
      </c>
      <c r="I118" s="44">
        <v>599086.19999999995</v>
      </c>
      <c r="J118" s="44">
        <v>357207.32</v>
      </c>
      <c r="K118" s="45">
        <v>7.8390000000000005E-3</v>
      </c>
      <c r="L118" s="44">
        <v>9736505.4499999993</v>
      </c>
      <c r="M118" s="44">
        <v>20658839.280000001</v>
      </c>
      <c r="N118" s="45">
        <v>0.45340000000000003</v>
      </c>
      <c r="O118" s="45">
        <v>2.7941000000000001E-2</v>
      </c>
      <c r="P118" s="45">
        <v>3.2299999999999999E-4</v>
      </c>
    </row>
    <row r="119" spans="1:16" x14ac:dyDescent="0.3">
      <c r="A119" s="43" t="s">
        <v>311</v>
      </c>
      <c r="B119" s="43" t="s">
        <v>312</v>
      </c>
      <c r="C119" s="43">
        <v>43</v>
      </c>
      <c r="D119" s="44">
        <v>45567800</v>
      </c>
      <c r="E119" s="43">
        <v>26</v>
      </c>
      <c r="F119" s="43">
        <v>0</v>
      </c>
      <c r="G119" s="44">
        <v>1630023.73</v>
      </c>
      <c r="H119" s="44">
        <v>1029482.98</v>
      </c>
      <c r="I119" s="44">
        <v>642144.75</v>
      </c>
      <c r="J119" s="44">
        <v>387338.22</v>
      </c>
      <c r="K119" s="45">
        <v>8.5000000000000006E-3</v>
      </c>
      <c r="L119" s="44">
        <v>10272123.300000001</v>
      </c>
      <c r="M119" s="44">
        <v>19448499.370000001</v>
      </c>
      <c r="N119" s="45">
        <v>0.42680000000000001</v>
      </c>
      <c r="O119" s="45">
        <v>2.4178000000000002E-2</v>
      </c>
      <c r="P119" s="45">
        <v>8.03E-4</v>
      </c>
    </row>
    <row r="120" spans="1:16" x14ac:dyDescent="0.3">
      <c r="A120" s="43" t="s">
        <v>311</v>
      </c>
      <c r="B120" s="43" t="s">
        <v>312</v>
      </c>
      <c r="C120" s="43">
        <v>43</v>
      </c>
      <c r="D120" s="44">
        <v>45567800</v>
      </c>
      <c r="E120" s="43">
        <v>27</v>
      </c>
      <c r="F120" s="43">
        <v>0</v>
      </c>
      <c r="G120" s="44">
        <v>1709323.23</v>
      </c>
      <c r="H120" s="44">
        <v>1088236.93</v>
      </c>
      <c r="I120" s="44">
        <v>671487.11</v>
      </c>
      <c r="J120" s="44">
        <v>416749.82</v>
      </c>
      <c r="K120" s="45">
        <v>9.1459999999999996E-3</v>
      </c>
      <c r="L120" s="44">
        <v>10638579.9</v>
      </c>
      <c r="M120" s="44">
        <v>18455929.670000002</v>
      </c>
      <c r="N120" s="45">
        <v>0.40500000000000003</v>
      </c>
      <c r="O120" s="45">
        <v>2.6595000000000001E-2</v>
      </c>
      <c r="P120" s="45">
        <v>5.7700000000000004E-4</v>
      </c>
    </row>
    <row r="121" spans="1:16" x14ac:dyDescent="0.3">
      <c r="A121" s="43" t="s">
        <v>311</v>
      </c>
      <c r="B121" s="43" t="s">
        <v>312</v>
      </c>
      <c r="C121" s="43">
        <v>43</v>
      </c>
      <c r="D121" s="44">
        <v>45567800</v>
      </c>
      <c r="E121" s="43">
        <v>28</v>
      </c>
      <c r="F121" s="43">
        <v>0</v>
      </c>
      <c r="G121" s="44">
        <v>1848248.5</v>
      </c>
      <c r="H121" s="44">
        <v>1173653.1599999999</v>
      </c>
      <c r="I121" s="44">
        <v>730552.85</v>
      </c>
      <c r="J121" s="44">
        <v>443100.31</v>
      </c>
      <c r="K121" s="45">
        <v>9.724E-3</v>
      </c>
      <c r="L121" s="44">
        <v>11146228.76</v>
      </c>
      <c r="M121" s="44">
        <v>17262541.940000001</v>
      </c>
      <c r="N121" s="45">
        <v>0.37880000000000003</v>
      </c>
      <c r="O121" s="45">
        <v>2.5117E-2</v>
      </c>
      <c r="P121" s="45">
        <v>7.8600000000000002E-4</v>
      </c>
    </row>
    <row r="122" spans="1:16" x14ac:dyDescent="0.3">
      <c r="A122" s="43" t="s">
        <v>311</v>
      </c>
      <c r="B122" s="43" t="s">
        <v>312</v>
      </c>
      <c r="C122" s="43">
        <v>43</v>
      </c>
      <c r="D122" s="44">
        <v>45567800</v>
      </c>
      <c r="E122" s="43">
        <v>29</v>
      </c>
      <c r="F122" s="43">
        <v>0</v>
      </c>
      <c r="G122" s="44">
        <v>1953732.57</v>
      </c>
      <c r="H122" s="44">
        <v>1241242.19</v>
      </c>
      <c r="I122" s="44">
        <v>778143.02</v>
      </c>
      <c r="J122" s="44">
        <v>463099.17</v>
      </c>
      <c r="K122" s="45">
        <v>1.0163E-2</v>
      </c>
      <c r="L122" s="44">
        <v>11485725.189999999</v>
      </c>
      <c r="M122" s="44">
        <v>16270747.84</v>
      </c>
      <c r="N122" s="45">
        <v>0.35709999999999997</v>
      </c>
      <c r="O122" s="45">
        <v>2.4979000000000001E-2</v>
      </c>
      <c r="P122" s="45">
        <v>5.8299999999999997E-4</v>
      </c>
    </row>
    <row r="123" spans="1:16" x14ac:dyDescent="0.3">
      <c r="A123" s="43" t="s">
        <v>311</v>
      </c>
      <c r="B123" s="43" t="s">
        <v>312</v>
      </c>
      <c r="C123" s="43">
        <v>43</v>
      </c>
      <c r="D123" s="44">
        <v>45567800</v>
      </c>
      <c r="E123" s="43">
        <v>30</v>
      </c>
      <c r="F123" s="43">
        <v>0</v>
      </c>
      <c r="G123" s="44">
        <v>2030736.78</v>
      </c>
      <c r="H123" s="44">
        <v>1290405.71</v>
      </c>
      <c r="I123" s="44">
        <v>807646.92</v>
      </c>
      <c r="J123" s="44">
        <v>482758.79</v>
      </c>
      <c r="K123" s="45">
        <v>1.0593999999999999E-2</v>
      </c>
      <c r="L123" s="44">
        <v>11819632.35</v>
      </c>
      <c r="M123" s="44">
        <v>15313022.869999999</v>
      </c>
      <c r="N123" s="45">
        <v>0.33600000000000002</v>
      </c>
      <c r="O123" s="45">
        <v>2.8853E-2</v>
      </c>
      <c r="P123" s="45">
        <v>6.1899999999999998E-4</v>
      </c>
    </row>
    <row r="124" spans="1:16" x14ac:dyDescent="0.3">
      <c r="A124" s="43" t="s">
        <v>311</v>
      </c>
      <c r="B124" s="43" t="s">
        <v>312</v>
      </c>
      <c r="C124" s="43">
        <v>43</v>
      </c>
      <c r="D124" s="44">
        <v>45567800</v>
      </c>
      <c r="E124" s="43">
        <v>31</v>
      </c>
      <c r="F124" s="43">
        <v>0</v>
      </c>
      <c r="G124" s="44">
        <v>2100064.65</v>
      </c>
      <c r="H124" s="44">
        <v>1341893.06</v>
      </c>
      <c r="I124" s="44">
        <v>832847.06</v>
      </c>
      <c r="J124" s="44">
        <v>509046.01</v>
      </c>
      <c r="K124" s="45">
        <v>1.1171E-2</v>
      </c>
      <c r="L124" s="44">
        <v>12290469.109999999</v>
      </c>
      <c r="M124" s="44">
        <v>14226044.640000001</v>
      </c>
      <c r="N124" s="45">
        <v>0.31219999999999998</v>
      </c>
      <c r="O124" s="45">
        <v>3.2524999999999998E-2</v>
      </c>
      <c r="P124" s="45">
        <v>5.1599999999999997E-4</v>
      </c>
    </row>
    <row r="125" spans="1:16" x14ac:dyDescent="0.3">
      <c r="A125" s="43" t="s">
        <v>311</v>
      </c>
      <c r="B125" s="43" t="s">
        <v>312</v>
      </c>
      <c r="C125" s="43">
        <v>43</v>
      </c>
      <c r="D125" s="44">
        <v>45567800</v>
      </c>
      <c r="E125" s="43">
        <v>32</v>
      </c>
      <c r="F125" s="43">
        <v>0</v>
      </c>
      <c r="G125" s="44">
        <v>2198436.44</v>
      </c>
      <c r="H125" s="44">
        <v>1410817.4</v>
      </c>
      <c r="I125" s="44">
        <v>867421.36</v>
      </c>
      <c r="J125" s="44">
        <v>543396.05000000005</v>
      </c>
      <c r="K125" s="45">
        <v>1.1925E-2</v>
      </c>
      <c r="L125" s="44">
        <v>12582709.07</v>
      </c>
      <c r="M125" s="44">
        <v>13288619.289999999</v>
      </c>
      <c r="N125" s="45">
        <v>0.29160000000000003</v>
      </c>
      <c r="O125" s="45">
        <v>2.5954000000000001E-2</v>
      </c>
      <c r="P125" s="45">
        <v>5.4000000000000001E-4</v>
      </c>
    </row>
    <row r="126" spans="1:16" x14ac:dyDescent="0.3">
      <c r="A126" s="43" t="s">
        <v>311</v>
      </c>
      <c r="B126" s="43" t="s">
        <v>312</v>
      </c>
      <c r="C126" s="43">
        <v>43</v>
      </c>
      <c r="D126" s="44">
        <v>45567800</v>
      </c>
      <c r="E126" s="43">
        <v>33</v>
      </c>
      <c r="F126" s="43">
        <v>0</v>
      </c>
      <c r="G126" s="44">
        <v>2262387.79</v>
      </c>
      <c r="H126" s="44">
        <v>1446171.19</v>
      </c>
      <c r="I126" s="44">
        <v>894984.43</v>
      </c>
      <c r="J126" s="44">
        <v>551186.76</v>
      </c>
      <c r="K126" s="45">
        <v>1.2096000000000001E-2</v>
      </c>
      <c r="L126" s="44">
        <v>13021232.630000001</v>
      </c>
      <c r="M126" s="44">
        <v>12239330.779999999</v>
      </c>
      <c r="N126" s="45">
        <v>0.26860000000000001</v>
      </c>
      <c r="O126" s="45">
        <v>3.2214E-2</v>
      </c>
      <c r="P126" s="45">
        <v>1.84E-4</v>
      </c>
    </row>
    <row r="127" spans="1:16" x14ac:dyDescent="0.3">
      <c r="A127" s="43" t="s">
        <v>311</v>
      </c>
      <c r="B127" s="43" t="s">
        <v>312</v>
      </c>
      <c r="C127" s="43">
        <v>43</v>
      </c>
      <c r="D127" s="44">
        <v>45567800</v>
      </c>
      <c r="E127" s="43">
        <v>34</v>
      </c>
      <c r="F127" s="43">
        <v>0</v>
      </c>
      <c r="G127" s="44">
        <v>2346004.5699999998</v>
      </c>
      <c r="H127" s="44">
        <v>1505373.53</v>
      </c>
      <c r="I127" s="44">
        <v>933987.61</v>
      </c>
      <c r="J127" s="44">
        <v>571385.93000000005</v>
      </c>
      <c r="K127" s="45">
        <v>1.2539E-2</v>
      </c>
      <c r="L127" s="44">
        <v>13387563.25</v>
      </c>
      <c r="M127" s="44">
        <v>11242569.779999999</v>
      </c>
      <c r="N127" s="45">
        <v>0.2467</v>
      </c>
      <c r="O127" s="45">
        <v>2.8681999999999999E-2</v>
      </c>
      <c r="P127" s="45">
        <v>3.8000000000000002E-4</v>
      </c>
    </row>
    <row r="128" spans="1:16" x14ac:dyDescent="0.3">
      <c r="A128" s="43" t="s">
        <v>311</v>
      </c>
      <c r="B128" s="43" t="s">
        <v>312</v>
      </c>
      <c r="C128" s="43">
        <v>43</v>
      </c>
      <c r="D128" s="44">
        <v>45567800</v>
      </c>
      <c r="E128" s="43">
        <v>35</v>
      </c>
      <c r="F128" s="43">
        <v>0</v>
      </c>
      <c r="G128" s="44">
        <v>2415848.5099999998</v>
      </c>
      <c r="H128" s="44">
        <v>1548128.71</v>
      </c>
      <c r="I128" s="44">
        <v>965343.79</v>
      </c>
      <c r="J128" s="44">
        <v>582784.92000000004</v>
      </c>
      <c r="K128" s="45">
        <v>1.2789E-2</v>
      </c>
      <c r="L128" s="44">
        <v>14106337.359999999</v>
      </c>
      <c r="M128" s="44">
        <v>9907138.1300000008</v>
      </c>
      <c r="N128" s="45">
        <v>0.21740000000000001</v>
      </c>
      <c r="O128" s="45">
        <v>2.6991999999999999E-2</v>
      </c>
      <c r="P128" s="45">
        <v>2.5599999999999999E-4</v>
      </c>
    </row>
    <row r="129" spans="1:16" x14ac:dyDescent="0.3">
      <c r="A129" s="43" t="s">
        <v>311</v>
      </c>
      <c r="B129" s="43" t="s">
        <v>312</v>
      </c>
      <c r="C129" s="43">
        <v>43</v>
      </c>
      <c r="D129" s="44">
        <v>45567800</v>
      </c>
      <c r="E129" s="43">
        <v>36</v>
      </c>
      <c r="F129" s="43">
        <v>0</v>
      </c>
      <c r="G129" s="44">
        <v>2495760.6</v>
      </c>
      <c r="H129" s="44">
        <v>1606694.35</v>
      </c>
      <c r="I129" s="44">
        <v>991600.32</v>
      </c>
      <c r="J129" s="44">
        <v>615094.03</v>
      </c>
      <c r="K129" s="45">
        <v>1.3498E-2</v>
      </c>
      <c r="L129" s="44">
        <v>14762939.529999999</v>
      </c>
      <c r="M129" s="44">
        <v>8623810.2699999996</v>
      </c>
      <c r="N129" s="45">
        <v>0.1893</v>
      </c>
      <c r="O129" s="45">
        <v>3.4039E-2</v>
      </c>
      <c r="P129" s="45">
        <v>5.3499999999999999E-4</v>
      </c>
    </row>
    <row r="130" spans="1:16" x14ac:dyDescent="0.3">
      <c r="A130" s="43" t="s">
        <v>311</v>
      </c>
      <c r="B130" s="43" t="s">
        <v>312</v>
      </c>
      <c r="C130" s="43">
        <v>43</v>
      </c>
      <c r="D130" s="44">
        <v>45567800</v>
      </c>
      <c r="E130" s="43">
        <v>37</v>
      </c>
      <c r="F130" s="43">
        <v>0</v>
      </c>
      <c r="G130" s="44">
        <v>2555988.96</v>
      </c>
      <c r="H130" s="44">
        <v>1642413.54</v>
      </c>
      <c r="I130" s="44">
        <v>1021083.83</v>
      </c>
      <c r="J130" s="44">
        <v>621329.72</v>
      </c>
      <c r="K130" s="45">
        <v>1.3635E-2</v>
      </c>
      <c r="L130" s="44">
        <v>15483203.960000001</v>
      </c>
      <c r="M130" s="44">
        <v>7296503.8799999999</v>
      </c>
      <c r="N130" s="45">
        <v>0.16009999999999999</v>
      </c>
      <c r="O130" s="45">
        <v>3.5150000000000001E-2</v>
      </c>
      <c r="P130" s="45">
        <v>2.99E-4</v>
      </c>
    </row>
    <row r="131" spans="1:16" x14ac:dyDescent="0.3">
      <c r="A131" s="43" t="s">
        <v>311</v>
      </c>
      <c r="B131" s="43" t="s">
        <v>312</v>
      </c>
      <c r="C131" s="43">
        <v>43</v>
      </c>
      <c r="D131" s="44">
        <v>45567800</v>
      </c>
      <c r="E131" s="43">
        <v>38</v>
      </c>
      <c r="F131" s="43">
        <v>0</v>
      </c>
      <c r="G131" s="44">
        <v>2626540.9700000002</v>
      </c>
      <c r="H131" s="44">
        <v>1686073.33</v>
      </c>
      <c r="I131" s="44">
        <v>1055756.8899999999</v>
      </c>
      <c r="J131" s="44">
        <v>630316.43999999994</v>
      </c>
      <c r="K131" s="45">
        <v>1.3832000000000001E-2</v>
      </c>
      <c r="L131" s="44">
        <v>15882145.380000001</v>
      </c>
      <c r="M131" s="44">
        <v>6280196.8499999996</v>
      </c>
      <c r="N131" s="45">
        <v>0.13780000000000001</v>
      </c>
      <c r="O131" s="45">
        <v>3.7024000000000001E-2</v>
      </c>
      <c r="P131" s="45">
        <v>2.9399999999999999E-4</v>
      </c>
    </row>
    <row r="132" spans="1:16" x14ac:dyDescent="0.3">
      <c r="A132" s="43" t="s">
        <v>311</v>
      </c>
      <c r="B132" s="43" t="s">
        <v>312</v>
      </c>
      <c r="C132" s="43">
        <v>43</v>
      </c>
      <c r="D132" s="44">
        <v>45567800</v>
      </c>
      <c r="E132" s="43">
        <v>39</v>
      </c>
      <c r="F132" s="43">
        <v>0</v>
      </c>
      <c r="G132" s="44">
        <v>2699066.06</v>
      </c>
      <c r="H132" s="44">
        <v>1731774.84</v>
      </c>
      <c r="I132" s="44">
        <v>1082871.08</v>
      </c>
      <c r="J132" s="44">
        <v>648903.76</v>
      </c>
      <c r="K132" s="45">
        <v>1.4239999999999999E-2</v>
      </c>
      <c r="L132" s="44">
        <v>16534508.41</v>
      </c>
      <c r="M132" s="44">
        <v>5008495.13</v>
      </c>
      <c r="N132" s="45">
        <v>0.1099</v>
      </c>
      <c r="O132" s="45">
        <v>3.1662999999999997E-2</v>
      </c>
      <c r="P132" s="45">
        <v>5.5400000000000002E-4</v>
      </c>
    </row>
    <row r="133" spans="1:16" x14ac:dyDescent="0.3">
      <c r="A133" s="43" t="s">
        <v>313</v>
      </c>
      <c r="B133" s="43" t="s">
        <v>314</v>
      </c>
      <c r="C133" s="43">
        <v>21</v>
      </c>
      <c r="D133" s="44">
        <v>23601300</v>
      </c>
      <c r="E133" s="43">
        <v>0</v>
      </c>
      <c r="F133" s="43">
        <v>0</v>
      </c>
      <c r="G133" s="44">
        <v>0</v>
      </c>
      <c r="H133" s="44">
        <v>0</v>
      </c>
      <c r="I133" s="44">
        <v>0</v>
      </c>
      <c r="J133" s="44">
        <v>0</v>
      </c>
      <c r="K133" s="45">
        <v>0</v>
      </c>
      <c r="L133" s="44">
        <v>144245.46</v>
      </c>
      <c r="M133" s="44">
        <v>23457054.539999999</v>
      </c>
      <c r="N133" s="45">
        <v>0.99390000000000001</v>
      </c>
      <c r="O133" s="45">
        <v>1.7554E-2</v>
      </c>
      <c r="P133" s="45">
        <v>0</v>
      </c>
    </row>
    <row r="134" spans="1:16" x14ac:dyDescent="0.3">
      <c r="A134" s="43" t="s">
        <v>313</v>
      </c>
      <c r="B134" s="43" t="s">
        <v>314</v>
      </c>
      <c r="C134" s="43">
        <v>21</v>
      </c>
      <c r="D134" s="44">
        <v>23601300</v>
      </c>
      <c r="E134" s="43">
        <v>1</v>
      </c>
      <c r="F134" s="43">
        <v>0</v>
      </c>
      <c r="G134" s="44">
        <v>2281.98</v>
      </c>
      <c r="H134" s="44">
        <v>1531.84</v>
      </c>
      <c r="I134" s="44">
        <v>0</v>
      </c>
      <c r="J134" s="44">
        <v>1531.84</v>
      </c>
      <c r="K134" s="45">
        <v>6.4999999999999994E-5</v>
      </c>
      <c r="L134" s="44">
        <v>264410.28999999998</v>
      </c>
      <c r="M134" s="44">
        <v>23051392.129999999</v>
      </c>
      <c r="N134" s="45">
        <v>0.97670000000000001</v>
      </c>
      <c r="O134" s="45">
        <v>1.5973000000000001E-2</v>
      </c>
      <c r="P134" s="45">
        <v>6.7000000000000002E-5</v>
      </c>
    </row>
    <row r="135" spans="1:16" x14ac:dyDescent="0.3">
      <c r="A135" s="43" t="s">
        <v>313</v>
      </c>
      <c r="B135" s="43" t="s">
        <v>314</v>
      </c>
      <c r="C135" s="43">
        <v>21</v>
      </c>
      <c r="D135" s="44">
        <v>23601300</v>
      </c>
      <c r="E135" s="43">
        <v>2</v>
      </c>
      <c r="F135" s="43">
        <v>0</v>
      </c>
      <c r="G135" s="44">
        <v>5726.52</v>
      </c>
      <c r="H135" s="44">
        <v>3604.6</v>
      </c>
      <c r="I135" s="44">
        <v>0</v>
      </c>
      <c r="J135" s="44">
        <v>3604.6</v>
      </c>
      <c r="K135" s="45">
        <v>1.5300000000000001E-4</v>
      </c>
      <c r="L135" s="44">
        <v>367030.3</v>
      </c>
      <c r="M135" s="44">
        <v>22662111.969999999</v>
      </c>
      <c r="N135" s="45">
        <v>0.96020000000000005</v>
      </c>
      <c r="O135" s="45">
        <v>2.462E-2</v>
      </c>
      <c r="P135" s="45">
        <v>9.5000000000000005E-5</v>
      </c>
    </row>
    <row r="136" spans="1:16" x14ac:dyDescent="0.3">
      <c r="A136" s="43" t="s">
        <v>313</v>
      </c>
      <c r="B136" s="43" t="s">
        <v>314</v>
      </c>
      <c r="C136" s="43">
        <v>21</v>
      </c>
      <c r="D136" s="44">
        <v>23601300</v>
      </c>
      <c r="E136" s="43">
        <v>3</v>
      </c>
      <c r="F136" s="43">
        <v>0</v>
      </c>
      <c r="G136" s="44">
        <v>12360.55</v>
      </c>
      <c r="H136" s="44">
        <v>8424.7900000000009</v>
      </c>
      <c r="I136" s="44">
        <v>0</v>
      </c>
      <c r="J136" s="44">
        <v>8424.7900000000009</v>
      </c>
      <c r="K136" s="45">
        <v>3.57E-4</v>
      </c>
      <c r="L136" s="44">
        <v>469668.07</v>
      </c>
      <c r="M136" s="44">
        <v>22269624.579999998</v>
      </c>
      <c r="N136" s="45">
        <v>0.94359999999999999</v>
      </c>
      <c r="O136" s="45">
        <v>1.9724999999999999E-2</v>
      </c>
      <c r="P136" s="45">
        <v>2.0599999999999999E-4</v>
      </c>
    </row>
    <row r="137" spans="1:16" x14ac:dyDescent="0.3">
      <c r="A137" s="43" t="s">
        <v>313</v>
      </c>
      <c r="B137" s="43" t="s">
        <v>314</v>
      </c>
      <c r="C137" s="43">
        <v>21</v>
      </c>
      <c r="D137" s="44">
        <v>23601300</v>
      </c>
      <c r="E137" s="43">
        <v>4</v>
      </c>
      <c r="F137" s="43">
        <v>0</v>
      </c>
      <c r="G137" s="44">
        <v>18266.64</v>
      </c>
      <c r="H137" s="44">
        <v>12832.3</v>
      </c>
      <c r="I137" s="44">
        <v>2543.37</v>
      </c>
      <c r="J137" s="44">
        <v>10288.93</v>
      </c>
      <c r="K137" s="45">
        <v>4.3600000000000003E-4</v>
      </c>
      <c r="L137" s="44">
        <v>563861.36</v>
      </c>
      <c r="M137" s="44">
        <v>21886309.600000001</v>
      </c>
      <c r="N137" s="45">
        <v>0.92730000000000001</v>
      </c>
      <c r="O137" s="45">
        <v>2.1170999999999999E-2</v>
      </c>
      <c r="P137" s="45">
        <v>3.6000000000000001E-5</v>
      </c>
    </row>
    <row r="138" spans="1:16" x14ac:dyDescent="0.3">
      <c r="A138" s="43" t="s">
        <v>313</v>
      </c>
      <c r="B138" s="43" t="s">
        <v>314</v>
      </c>
      <c r="C138" s="43">
        <v>21</v>
      </c>
      <c r="D138" s="44">
        <v>23601300</v>
      </c>
      <c r="E138" s="43">
        <v>5</v>
      </c>
      <c r="F138" s="43">
        <v>0</v>
      </c>
      <c r="G138" s="44">
        <v>28941.41</v>
      </c>
      <c r="H138" s="44">
        <v>18948.29</v>
      </c>
      <c r="I138" s="44">
        <v>6616.86</v>
      </c>
      <c r="J138" s="44">
        <v>12331.42</v>
      </c>
      <c r="K138" s="45">
        <v>5.22E-4</v>
      </c>
      <c r="L138" s="44">
        <v>741055.65</v>
      </c>
      <c r="M138" s="44">
        <v>21415224.93</v>
      </c>
      <c r="N138" s="45">
        <v>0.90739999999999998</v>
      </c>
      <c r="O138" s="45">
        <v>2.3397999999999999E-2</v>
      </c>
      <c r="P138" s="45">
        <v>1.18E-4</v>
      </c>
    </row>
    <row r="139" spans="1:16" x14ac:dyDescent="0.3">
      <c r="A139" s="43" t="s">
        <v>313</v>
      </c>
      <c r="B139" s="43" t="s">
        <v>314</v>
      </c>
      <c r="C139" s="43">
        <v>21</v>
      </c>
      <c r="D139" s="44">
        <v>23601300</v>
      </c>
      <c r="E139" s="43">
        <v>6</v>
      </c>
      <c r="F139" s="43">
        <v>0</v>
      </c>
      <c r="G139" s="44">
        <v>38097.589999999997</v>
      </c>
      <c r="H139" s="44">
        <v>25650.06</v>
      </c>
      <c r="I139" s="44">
        <v>11121.6</v>
      </c>
      <c r="J139" s="44">
        <v>14528.46</v>
      </c>
      <c r="K139" s="45">
        <v>6.1600000000000001E-4</v>
      </c>
      <c r="L139" s="44">
        <v>944523.38</v>
      </c>
      <c r="M139" s="44">
        <v>20919385.43</v>
      </c>
      <c r="N139" s="45">
        <v>0.88639999999999997</v>
      </c>
      <c r="O139" s="45">
        <v>1.9136E-2</v>
      </c>
      <c r="P139" s="45">
        <v>3.4999999999999997E-5</v>
      </c>
    </row>
    <row r="140" spans="1:16" x14ac:dyDescent="0.3">
      <c r="A140" s="43" t="s">
        <v>313</v>
      </c>
      <c r="B140" s="43" t="s">
        <v>314</v>
      </c>
      <c r="C140" s="43">
        <v>21</v>
      </c>
      <c r="D140" s="44">
        <v>23601300</v>
      </c>
      <c r="E140" s="43">
        <v>7</v>
      </c>
      <c r="F140" s="43">
        <v>0</v>
      </c>
      <c r="G140" s="44">
        <v>49410.37</v>
      </c>
      <c r="H140" s="44">
        <v>31993.31</v>
      </c>
      <c r="I140" s="44">
        <v>16065.98</v>
      </c>
      <c r="J140" s="44">
        <v>15927.32</v>
      </c>
      <c r="K140" s="45">
        <v>6.7500000000000004E-4</v>
      </c>
      <c r="L140" s="44">
        <v>1038367.9</v>
      </c>
      <c r="M140" s="44">
        <v>20531012.530000001</v>
      </c>
      <c r="N140" s="45">
        <v>0.86990000000000001</v>
      </c>
      <c r="O140" s="45">
        <v>2.2367999999999999E-2</v>
      </c>
      <c r="P140" s="45">
        <v>7.6000000000000004E-5</v>
      </c>
    </row>
    <row r="141" spans="1:16" x14ac:dyDescent="0.3">
      <c r="A141" s="43" t="s">
        <v>313</v>
      </c>
      <c r="B141" s="43" t="s">
        <v>314</v>
      </c>
      <c r="C141" s="43">
        <v>21</v>
      </c>
      <c r="D141" s="44">
        <v>23601300</v>
      </c>
      <c r="E141" s="43">
        <v>8</v>
      </c>
      <c r="F141" s="43">
        <v>0</v>
      </c>
      <c r="G141" s="44">
        <v>68370.44</v>
      </c>
      <c r="H141" s="44">
        <v>44572.18</v>
      </c>
      <c r="I141" s="44">
        <v>24005.34</v>
      </c>
      <c r="J141" s="44">
        <v>20566.84</v>
      </c>
      <c r="K141" s="45">
        <v>8.7100000000000003E-4</v>
      </c>
      <c r="L141" s="44">
        <v>1162955.3</v>
      </c>
      <c r="M141" s="44">
        <v>20104249.449999999</v>
      </c>
      <c r="N141" s="45">
        <v>0.8518</v>
      </c>
      <c r="O141" s="45">
        <v>1.8422000000000001E-2</v>
      </c>
      <c r="P141" s="45">
        <v>1.5699999999999999E-4</v>
      </c>
    </row>
    <row r="142" spans="1:16" x14ac:dyDescent="0.3">
      <c r="A142" s="43" t="s">
        <v>313</v>
      </c>
      <c r="B142" s="43" t="s">
        <v>314</v>
      </c>
      <c r="C142" s="43">
        <v>21</v>
      </c>
      <c r="D142" s="44">
        <v>23601300</v>
      </c>
      <c r="E142" s="43">
        <v>9</v>
      </c>
      <c r="F142" s="43">
        <v>0</v>
      </c>
      <c r="G142" s="44">
        <v>85525.32</v>
      </c>
      <c r="H142" s="44">
        <v>54099.67</v>
      </c>
      <c r="I142" s="44">
        <v>31821.15</v>
      </c>
      <c r="J142" s="44">
        <v>22278.52</v>
      </c>
      <c r="K142" s="45">
        <v>9.4399999999999996E-4</v>
      </c>
      <c r="L142" s="44">
        <v>1269023.47</v>
      </c>
      <c r="M142" s="44">
        <v>19697810.809999999</v>
      </c>
      <c r="N142" s="45">
        <v>0.83460000000000001</v>
      </c>
      <c r="O142" s="45">
        <v>1.9369000000000001E-2</v>
      </c>
      <c r="P142" s="45">
        <v>1.4300000000000001E-4</v>
      </c>
    </row>
    <row r="143" spans="1:16" x14ac:dyDescent="0.3">
      <c r="A143" s="43" t="s">
        <v>313</v>
      </c>
      <c r="B143" s="43" t="s">
        <v>314</v>
      </c>
      <c r="C143" s="43">
        <v>21</v>
      </c>
      <c r="D143" s="44">
        <v>23601300</v>
      </c>
      <c r="E143" s="43">
        <v>10</v>
      </c>
      <c r="F143" s="43">
        <v>0</v>
      </c>
      <c r="G143" s="44">
        <v>108435.87</v>
      </c>
      <c r="H143" s="44">
        <v>69426.17</v>
      </c>
      <c r="I143" s="44">
        <v>41642.76</v>
      </c>
      <c r="J143" s="44">
        <v>27783.41</v>
      </c>
      <c r="K143" s="45">
        <v>1.1770000000000001E-3</v>
      </c>
      <c r="L143" s="44">
        <v>1420214.25</v>
      </c>
      <c r="M143" s="44">
        <v>19240493.879999999</v>
      </c>
      <c r="N143" s="45">
        <v>0.81520000000000004</v>
      </c>
      <c r="O143" s="45">
        <v>2.4521000000000001E-2</v>
      </c>
      <c r="P143" s="45">
        <v>2.5900000000000001E-4</v>
      </c>
    </row>
    <row r="144" spans="1:16" x14ac:dyDescent="0.3">
      <c r="A144" s="43" t="s">
        <v>313</v>
      </c>
      <c r="B144" s="43" t="s">
        <v>314</v>
      </c>
      <c r="C144" s="43">
        <v>21</v>
      </c>
      <c r="D144" s="44">
        <v>23601300</v>
      </c>
      <c r="E144" s="43">
        <v>11</v>
      </c>
      <c r="F144" s="43">
        <v>0</v>
      </c>
      <c r="G144" s="44">
        <v>132966.66</v>
      </c>
      <c r="H144" s="44">
        <v>82968.899999999994</v>
      </c>
      <c r="I144" s="44">
        <v>50249.61</v>
      </c>
      <c r="J144" s="44">
        <v>32719.29</v>
      </c>
      <c r="K144" s="45">
        <v>1.3860000000000001E-3</v>
      </c>
      <c r="L144" s="44">
        <v>1570772.96</v>
      </c>
      <c r="M144" s="44">
        <v>18782188.780000001</v>
      </c>
      <c r="N144" s="45">
        <v>0.79579999999999995</v>
      </c>
      <c r="O144" s="45">
        <v>2.8549000000000001E-2</v>
      </c>
      <c r="P144" s="45">
        <v>2.0799999999999999E-4</v>
      </c>
    </row>
    <row r="145" spans="1:16" x14ac:dyDescent="0.3">
      <c r="A145" s="43" t="s">
        <v>313</v>
      </c>
      <c r="B145" s="43" t="s">
        <v>314</v>
      </c>
      <c r="C145" s="43">
        <v>21</v>
      </c>
      <c r="D145" s="44">
        <v>23601300</v>
      </c>
      <c r="E145" s="43">
        <v>12</v>
      </c>
      <c r="F145" s="43">
        <v>0</v>
      </c>
      <c r="G145" s="44">
        <v>167355.76999999999</v>
      </c>
      <c r="H145" s="44">
        <v>105283.08</v>
      </c>
      <c r="I145" s="44">
        <v>66116.17</v>
      </c>
      <c r="J145" s="44">
        <v>39166.9</v>
      </c>
      <c r="K145" s="45">
        <v>1.66E-3</v>
      </c>
      <c r="L145" s="44">
        <v>1711739.87</v>
      </c>
      <c r="M145" s="44">
        <v>18323617.16</v>
      </c>
      <c r="N145" s="45">
        <v>0.77639999999999998</v>
      </c>
      <c r="O145" s="45">
        <v>2.5128999999999999E-2</v>
      </c>
      <c r="P145" s="45">
        <v>3.88E-4</v>
      </c>
    </row>
    <row r="146" spans="1:16" x14ac:dyDescent="0.3">
      <c r="A146" s="43" t="s">
        <v>313</v>
      </c>
      <c r="B146" s="43" t="s">
        <v>314</v>
      </c>
      <c r="C146" s="43">
        <v>21</v>
      </c>
      <c r="D146" s="44">
        <v>23601300</v>
      </c>
      <c r="E146" s="43">
        <v>13</v>
      </c>
      <c r="F146" s="43">
        <v>0</v>
      </c>
      <c r="G146" s="44">
        <v>204573.61</v>
      </c>
      <c r="H146" s="44">
        <v>130177.68</v>
      </c>
      <c r="I146" s="44">
        <v>79858.64</v>
      </c>
      <c r="J146" s="44">
        <v>50319.05</v>
      </c>
      <c r="K146" s="45">
        <v>2.1320000000000002E-3</v>
      </c>
      <c r="L146" s="44">
        <v>1819919.89</v>
      </c>
      <c r="M146" s="44">
        <v>17895003.699999999</v>
      </c>
      <c r="N146" s="45">
        <v>0.75819999999999999</v>
      </c>
      <c r="O146" s="45">
        <v>2.4362999999999999E-2</v>
      </c>
      <c r="P146" s="45">
        <v>4.28E-4</v>
      </c>
    </row>
    <row r="147" spans="1:16" x14ac:dyDescent="0.3">
      <c r="A147" s="43" t="s">
        <v>313</v>
      </c>
      <c r="B147" s="43" t="s">
        <v>314</v>
      </c>
      <c r="C147" s="43">
        <v>21</v>
      </c>
      <c r="D147" s="44">
        <v>23601300</v>
      </c>
      <c r="E147" s="43">
        <v>14</v>
      </c>
      <c r="F147" s="43">
        <v>0</v>
      </c>
      <c r="G147" s="44">
        <v>237779.24</v>
      </c>
      <c r="H147" s="44">
        <v>152455.92000000001</v>
      </c>
      <c r="I147" s="44">
        <v>94994.5</v>
      </c>
      <c r="J147" s="44">
        <v>57461.42</v>
      </c>
      <c r="K147" s="45">
        <v>2.4350000000000001E-3</v>
      </c>
      <c r="L147" s="44">
        <v>1974660.17</v>
      </c>
      <c r="M147" s="44">
        <v>17423842.190000001</v>
      </c>
      <c r="N147" s="45">
        <v>0.73829999999999996</v>
      </c>
      <c r="O147" s="45">
        <v>2.6855E-2</v>
      </c>
      <c r="P147" s="45">
        <v>1.9000000000000001E-4</v>
      </c>
    </row>
    <row r="148" spans="1:16" x14ac:dyDescent="0.3">
      <c r="A148" s="43" t="s">
        <v>313</v>
      </c>
      <c r="B148" s="43" t="s">
        <v>314</v>
      </c>
      <c r="C148" s="43">
        <v>21</v>
      </c>
      <c r="D148" s="44">
        <v>23601300</v>
      </c>
      <c r="E148" s="43">
        <v>15</v>
      </c>
      <c r="F148" s="43">
        <v>0</v>
      </c>
      <c r="G148" s="44">
        <v>274016.31</v>
      </c>
      <c r="H148" s="44">
        <v>172884.99</v>
      </c>
      <c r="I148" s="44">
        <v>110789.67</v>
      </c>
      <c r="J148" s="44">
        <v>62095.32</v>
      </c>
      <c r="K148" s="45">
        <v>2.6310000000000001E-3</v>
      </c>
      <c r="L148" s="44">
        <v>2138529.02</v>
      </c>
      <c r="M148" s="44">
        <v>16940520.670000002</v>
      </c>
      <c r="N148" s="45">
        <v>0.71779999999999999</v>
      </c>
      <c r="O148" s="45">
        <v>2.7109999999999999E-2</v>
      </c>
      <c r="P148" s="45">
        <v>2.2000000000000001E-4</v>
      </c>
    </row>
    <row r="149" spans="1:16" x14ac:dyDescent="0.3">
      <c r="A149" s="43" t="s">
        <v>313</v>
      </c>
      <c r="B149" s="43" t="s">
        <v>314</v>
      </c>
      <c r="C149" s="43">
        <v>21</v>
      </c>
      <c r="D149" s="44">
        <v>23601300</v>
      </c>
      <c r="E149" s="43">
        <v>16</v>
      </c>
      <c r="F149" s="43">
        <v>0</v>
      </c>
      <c r="G149" s="44">
        <v>322475.64</v>
      </c>
      <c r="H149" s="44">
        <v>201898.43</v>
      </c>
      <c r="I149" s="44">
        <v>126260.38</v>
      </c>
      <c r="J149" s="44">
        <v>75638.039999999994</v>
      </c>
      <c r="K149" s="45">
        <v>3.2049999999999999E-3</v>
      </c>
      <c r="L149" s="44">
        <v>2259580.4700000002</v>
      </c>
      <c r="M149" s="44">
        <v>16487794.289999999</v>
      </c>
      <c r="N149" s="45">
        <v>0.6986</v>
      </c>
      <c r="O149" s="45">
        <v>2.5828E-2</v>
      </c>
      <c r="P149" s="45">
        <v>5.2800000000000004E-4</v>
      </c>
    </row>
    <row r="150" spans="1:16" x14ac:dyDescent="0.3">
      <c r="A150" s="43" t="s">
        <v>313</v>
      </c>
      <c r="B150" s="43" t="s">
        <v>314</v>
      </c>
      <c r="C150" s="43">
        <v>21</v>
      </c>
      <c r="D150" s="44">
        <v>23601300</v>
      </c>
      <c r="E150" s="43">
        <v>17</v>
      </c>
      <c r="F150" s="43">
        <v>0</v>
      </c>
      <c r="G150" s="44">
        <v>358033.09</v>
      </c>
      <c r="H150" s="44">
        <v>223194.26</v>
      </c>
      <c r="I150" s="44">
        <v>142263.67000000001</v>
      </c>
      <c r="J150" s="44">
        <v>80930.59</v>
      </c>
      <c r="K150" s="45">
        <v>3.4290000000000002E-3</v>
      </c>
      <c r="L150" s="44">
        <v>2388939.0299999998</v>
      </c>
      <c r="M150" s="44">
        <v>16039662.68</v>
      </c>
      <c r="N150" s="45">
        <v>0.67959999999999998</v>
      </c>
      <c r="O150" s="45">
        <v>2.4420000000000001E-2</v>
      </c>
      <c r="P150" s="45">
        <v>1.8100000000000001E-4</v>
      </c>
    </row>
    <row r="151" spans="1:16" x14ac:dyDescent="0.3">
      <c r="A151" s="43" t="s">
        <v>313</v>
      </c>
      <c r="B151" s="43" t="s">
        <v>314</v>
      </c>
      <c r="C151" s="43">
        <v>21</v>
      </c>
      <c r="D151" s="44">
        <v>23601300</v>
      </c>
      <c r="E151" s="43">
        <v>18</v>
      </c>
      <c r="F151" s="43">
        <v>0</v>
      </c>
      <c r="G151" s="44">
        <v>399868.87</v>
      </c>
      <c r="H151" s="44">
        <v>250779.98</v>
      </c>
      <c r="I151" s="44">
        <v>155638.91</v>
      </c>
      <c r="J151" s="44">
        <v>95141.07</v>
      </c>
      <c r="K151" s="45">
        <v>4.0309999999999999E-3</v>
      </c>
      <c r="L151" s="44">
        <v>2617360.92</v>
      </c>
      <c r="M151" s="44">
        <v>15486189.4</v>
      </c>
      <c r="N151" s="45">
        <v>0.65620000000000001</v>
      </c>
      <c r="O151" s="45">
        <v>2.4617E-2</v>
      </c>
      <c r="P151" s="45">
        <v>4.9200000000000003E-4</v>
      </c>
    </row>
    <row r="152" spans="1:16" x14ac:dyDescent="0.3">
      <c r="A152" s="43" t="s">
        <v>313</v>
      </c>
      <c r="B152" s="43" t="s">
        <v>314</v>
      </c>
      <c r="C152" s="43">
        <v>21</v>
      </c>
      <c r="D152" s="44">
        <v>23601300</v>
      </c>
      <c r="E152" s="43">
        <v>19</v>
      </c>
      <c r="F152" s="43">
        <v>0</v>
      </c>
      <c r="G152" s="44">
        <v>448952.33</v>
      </c>
      <c r="H152" s="44">
        <v>284373.87</v>
      </c>
      <c r="I152" s="44">
        <v>177541.95</v>
      </c>
      <c r="J152" s="44">
        <v>106831.91</v>
      </c>
      <c r="K152" s="45">
        <v>4.5269999999999998E-3</v>
      </c>
      <c r="L152" s="44">
        <v>2927542.93</v>
      </c>
      <c r="M152" s="44">
        <v>14843708.33</v>
      </c>
      <c r="N152" s="45">
        <v>0.62890000000000001</v>
      </c>
      <c r="O152" s="45">
        <v>2.6563E-2</v>
      </c>
      <c r="P152" s="45">
        <v>5.1699999999999999E-4</v>
      </c>
    </row>
    <row r="153" spans="1:16" x14ac:dyDescent="0.3">
      <c r="A153" s="43" t="s">
        <v>313</v>
      </c>
      <c r="B153" s="43" t="s">
        <v>314</v>
      </c>
      <c r="C153" s="43">
        <v>21</v>
      </c>
      <c r="D153" s="44">
        <v>23601300</v>
      </c>
      <c r="E153" s="43">
        <v>20</v>
      </c>
      <c r="F153" s="43">
        <v>0</v>
      </c>
      <c r="G153" s="44">
        <v>495808.31</v>
      </c>
      <c r="H153" s="44">
        <v>316400.53000000003</v>
      </c>
      <c r="I153" s="44">
        <v>193824.96</v>
      </c>
      <c r="J153" s="44">
        <v>122575.57</v>
      </c>
      <c r="K153" s="45">
        <v>5.1939999999999998E-3</v>
      </c>
      <c r="L153" s="44">
        <v>3169813.38</v>
      </c>
      <c r="M153" s="44">
        <v>14271366.310000001</v>
      </c>
      <c r="N153" s="45">
        <v>0.60470000000000002</v>
      </c>
      <c r="O153" s="45">
        <v>2.2526000000000001E-2</v>
      </c>
      <c r="P153" s="45">
        <v>7.7499999999999997E-4</v>
      </c>
    </row>
    <row r="154" spans="1:16" x14ac:dyDescent="0.3">
      <c r="A154" s="43" t="s">
        <v>313</v>
      </c>
      <c r="B154" s="43" t="s">
        <v>314</v>
      </c>
      <c r="C154" s="43">
        <v>21</v>
      </c>
      <c r="D154" s="44">
        <v>23601300</v>
      </c>
      <c r="E154" s="43">
        <v>21</v>
      </c>
      <c r="F154" s="43">
        <v>0</v>
      </c>
      <c r="G154" s="44">
        <v>541550</v>
      </c>
      <c r="H154" s="44">
        <v>346978.95</v>
      </c>
      <c r="I154" s="44">
        <v>207663.01</v>
      </c>
      <c r="J154" s="44">
        <v>139315.94</v>
      </c>
      <c r="K154" s="45">
        <v>5.9030000000000003E-3</v>
      </c>
      <c r="L154" s="44">
        <v>3458197.15</v>
      </c>
      <c r="M154" s="44">
        <v>13654025.25</v>
      </c>
      <c r="N154" s="45">
        <v>0.57850000000000001</v>
      </c>
      <c r="O154" s="45">
        <v>2.5062999999999998E-2</v>
      </c>
      <c r="P154" s="45">
        <v>6.6799999999999997E-4</v>
      </c>
    </row>
    <row r="155" spans="1:16" x14ac:dyDescent="0.3">
      <c r="A155" s="43" t="s">
        <v>313</v>
      </c>
      <c r="B155" s="43" t="s">
        <v>314</v>
      </c>
      <c r="C155" s="43">
        <v>21</v>
      </c>
      <c r="D155" s="44">
        <v>23601300</v>
      </c>
      <c r="E155" s="43">
        <v>22</v>
      </c>
      <c r="F155" s="43">
        <v>0</v>
      </c>
      <c r="G155" s="44">
        <v>580867.92000000004</v>
      </c>
      <c r="H155" s="44">
        <v>374244.13</v>
      </c>
      <c r="I155" s="44">
        <v>220475.95</v>
      </c>
      <c r="J155" s="44">
        <v>153768.18</v>
      </c>
      <c r="K155" s="45">
        <v>6.515E-3</v>
      </c>
      <c r="L155" s="44">
        <v>3635072.9</v>
      </c>
      <c r="M155" s="44">
        <v>13154615.99</v>
      </c>
      <c r="N155" s="45">
        <v>0.55740000000000001</v>
      </c>
      <c r="O155" s="45">
        <v>3.0138999999999999E-2</v>
      </c>
      <c r="P155" s="45">
        <v>6.9499999999999998E-4</v>
      </c>
    </row>
    <row r="156" spans="1:16" x14ac:dyDescent="0.3">
      <c r="A156" s="43" t="s">
        <v>313</v>
      </c>
      <c r="B156" s="43" t="s">
        <v>314</v>
      </c>
      <c r="C156" s="43">
        <v>21</v>
      </c>
      <c r="D156" s="44">
        <v>23601300</v>
      </c>
      <c r="E156" s="43">
        <v>23</v>
      </c>
      <c r="F156" s="43">
        <v>0</v>
      </c>
      <c r="G156" s="44">
        <v>639443.44999999995</v>
      </c>
      <c r="H156" s="44">
        <v>415765.71</v>
      </c>
      <c r="I156" s="44">
        <v>241199.9</v>
      </c>
      <c r="J156" s="44">
        <v>174565.81</v>
      </c>
      <c r="K156" s="45">
        <v>7.3959999999999998E-3</v>
      </c>
      <c r="L156" s="44">
        <v>3840638.94</v>
      </c>
      <c r="M156" s="44">
        <v>12607258.810000001</v>
      </c>
      <c r="N156" s="45">
        <v>0.53420000000000001</v>
      </c>
      <c r="O156" s="45">
        <v>3.0610999999999999E-2</v>
      </c>
      <c r="P156" s="45">
        <v>8.1999999999999998E-4</v>
      </c>
    </row>
    <row r="157" spans="1:16" x14ac:dyDescent="0.3">
      <c r="A157" s="43" t="s">
        <v>313</v>
      </c>
      <c r="B157" s="43" t="s">
        <v>314</v>
      </c>
      <c r="C157" s="43">
        <v>21</v>
      </c>
      <c r="D157" s="44">
        <v>23601300</v>
      </c>
      <c r="E157" s="43">
        <v>24</v>
      </c>
      <c r="F157" s="43">
        <v>0</v>
      </c>
      <c r="G157" s="44">
        <v>692155.38</v>
      </c>
      <c r="H157" s="44">
        <v>445610.44</v>
      </c>
      <c r="I157" s="44">
        <v>261850.1</v>
      </c>
      <c r="J157" s="44">
        <v>183760.34</v>
      </c>
      <c r="K157" s="45">
        <v>7.7860000000000004E-3</v>
      </c>
      <c r="L157" s="44">
        <v>4088731.13</v>
      </c>
      <c r="M157" s="44">
        <v>12023239.08</v>
      </c>
      <c r="N157" s="45">
        <v>0.50939999999999996</v>
      </c>
      <c r="O157" s="45">
        <v>2.4101000000000001E-2</v>
      </c>
      <c r="P157" s="45">
        <v>7.0200000000000004E-4</v>
      </c>
    </row>
    <row r="158" spans="1:16" x14ac:dyDescent="0.3">
      <c r="A158" s="43" t="s">
        <v>313</v>
      </c>
      <c r="B158" s="43" t="s">
        <v>314</v>
      </c>
      <c r="C158" s="43">
        <v>21</v>
      </c>
      <c r="D158" s="44">
        <v>23601300</v>
      </c>
      <c r="E158" s="43">
        <v>25</v>
      </c>
      <c r="F158" s="43">
        <v>0</v>
      </c>
      <c r="G158" s="44">
        <v>754271.53</v>
      </c>
      <c r="H158" s="44">
        <v>484288.53</v>
      </c>
      <c r="I158" s="44">
        <v>284260.76</v>
      </c>
      <c r="J158" s="44">
        <v>200027.77</v>
      </c>
      <c r="K158" s="45">
        <v>8.4749999999999999E-3</v>
      </c>
      <c r="L158" s="44">
        <v>4273988.76</v>
      </c>
      <c r="M158" s="44">
        <v>11492649.710000001</v>
      </c>
      <c r="N158" s="45">
        <v>0.4869</v>
      </c>
      <c r="O158" s="45">
        <v>2.9388000000000001E-2</v>
      </c>
      <c r="P158" s="45">
        <v>5.7300000000000005E-4</v>
      </c>
    </row>
    <row r="159" spans="1:16" x14ac:dyDescent="0.3">
      <c r="A159" s="43" t="s">
        <v>313</v>
      </c>
      <c r="B159" s="43" t="s">
        <v>314</v>
      </c>
      <c r="C159" s="43">
        <v>21</v>
      </c>
      <c r="D159" s="44">
        <v>23601300</v>
      </c>
      <c r="E159" s="43">
        <v>26</v>
      </c>
      <c r="F159" s="43">
        <v>0</v>
      </c>
      <c r="G159" s="44">
        <v>801955</v>
      </c>
      <c r="H159" s="44">
        <v>515268.63</v>
      </c>
      <c r="I159" s="44">
        <v>304288.19</v>
      </c>
      <c r="J159" s="44">
        <v>210980.44</v>
      </c>
      <c r="K159" s="45">
        <v>8.9390000000000008E-3</v>
      </c>
      <c r="L159" s="44">
        <v>4509879.5599999996</v>
      </c>
      <c r="M159" s="44">
        <v>10925859.85</v>
      </c>
      <c r="N159" s="45">
        <v>0.46289999999999998</v>
      </c>
      <c r="O159" s="45">
        <v>2.6030000000000001E-2</v>
      </c>
      <c r="P159" s="45">
        <v>4.4299999999999998E-4</v>
      </c>
    </row>
    <row r="160" spans="1:16" x14ac:dyDescent="0.3">
      <c r="A160" s="43" t="s">
        <v>313</v>
      </c>
      <c r="B160" s="43" t="s">
        <v>314</v>
      </c>
      <c r="C160" s="43">
        <v>21</v>
      </c>
      <c r="D160" s="44">
        <v>23601300</v>
      </c>
      <c r="E160" s="43">
        <v>27</v>
      </c>
      <c r="F160" s="43">
        <v>0</v>
      </c>
      <c r="G160" s="44">
        <v>845751.55</v>
      </c>
      <c r="H160" s="44">
        <v>540595.01</v>
      </c>
      <c r="I160" s="44">
        <v>321815.8</v>
      </c>
      <c r="J160" s="44">
        <v>218779.21</v>
      </c>
      <c r="K160" s="45">
        <v>9.2700000000000005E-3</v>
      </c>
      <c r="L160" s="44">
        <v>4738787.32</v>
      </c>
      <c r="M160" s="44">
        <v>10369939.939999999</v>
      </c>
      <c r="N160" s="45">
        <v>0.43940000000000001</v>
      </c>
      <c r="O160" s="45">
        <v>2.8257000000000001E-2</v>
      </c>
      <c r="P160" s="45">
        <v>4.95E-4</v>
      </c>
    </row>
    <row r="161" spans="1:16" x14ac:dyDescent="0.3">
      <c r="A161" s="43" t="s">
        <v>313</v>
      </c>
      <c r="B161" s="43" t="s">
        <v>314</v>
      </c>
      <c r="C161" s="43">
        <v>21</v>
      </c>
      <c r="D161" s="44">
        <v>23601300</v>
      </c>
      <c r="E161" s="43">
        <v>28</v>
      </c>
      <c r="F161" s="43">
        <v>0</v>
      </c>
      <c r="G161" s="44">
        <v>887032.61</v>
      </c>
      <c r="H161" s="44">
        <v>566937.43999999994</v>
      </c>
      <c r="I161" s="44">
        <v>341046.02</v>
      </c>
      <c r="J161" s="44">
        <v>225891.42</v>
      </c>
      <c r="K161" s="45">
        <v>9.5709999999999996E-3</v>
      </c>
      <c r="L161" s="44">
        <v>5098629.97</v>
      </c>
      <c r="M161" s="44">
        <v>9685600.6199999992</v>
      </c>
      <c r="N161" s="45">
        <v>0.41039999999999999</v>
      </c>
      <c r="O161" s="45">
        <v>2.6520999999999999E-2</v>
      </c>
      <c r="P161" s="45">
        <v>1.56E-4</v>
      </c>
    </row>
    <row r="162" spans="1:16" x14ac:dyDescent="0.3">
      <c r="A162" s="43" t="s">
        <v>313</v>
      </c>
      <c r="B162" s="43" t="s">
        <v>314</v>
      </c>
      <c r="C162" s="43">
        <v>21</v>
      </c>
      <c r="D162" s="44">
        <v>23601300</v>
      </c>
      <c r="E162" s="43">
        <v>29</v>
      </c>
      <c r="F162" s="43">
        <v>0</v>
      </c>
      <c r="G162" s="44">
        <v>930193.87</v>
      </c>
      <c r="H162" s="44">
        <v>594800.86</v>
      </c>
      <c r="I162" s="44">
        <v>358694.40000000002</v>
      </c>
      <c r="J162" s="44">
        <v>236106.46</v>
      </c>
      <c r="K162" s="45">
        <v>1.0004000000000001E-2</v>
      </c>
      <c r="L162" s="44">
        <v>5441362.21</v>
      </c>
      <c r="M162" s="44">
        <v>9016491.5099999998</v>
      </c>
      <c r="N162" s="45">
        <v>0.38200000000000001</v>
      </c>
      <c r="O162" s="45">
        <v>2.7532000000000001E-2</v>
      </c>
      <c r="P162" s="45">
        <v>6.2100000000000002E-4</v>
      </c>
    </row>
    <row r="163" spans="1:16" x14ac:dyDescent="0.3">
      <c r="A163" s="43" t="s">
        <v>313</v>
      </c>
      <c r="B163" s="43" t="s">
        <v>314</v>
      </c>
      <c r="C163" s="43">
        <v>21</v>
      </c>
      <c r="D163" s="44">
        <v>23601300</v>
      </c>
      <c r="E163" s="43">
        <v>30</v>
      </c>
      <c r="F163" s="43">
        <v>0</v>
      </c>
      <c r="G163" s="44">
        <v>969036</v>
      </c>
      <c r="H163" s="44">
        <v>618406.68999999994</v>
      </c>
      <c r="I163" s="44">
        <v>377553.26</v>
      </c>
      <c r="J163" s="44">
        <v>240853.44</v>
      </c>
      <c r="K163" s="45">
        <v>1.0205000000000001E-2</v>
      </c>
      <c r="L163" s="44">
        <v>5762065.7599999998</v>
      </c>
      <c r="M163" s="44">
        <v>8373730.2400000002</v>
      </c>
      <c r="N163" s="45">
        <v>0.3548</v>
      </c>
      <c r="O163" s="45">
        <v>2.8808E-2</v>
      </c>
      <c r="P163" s="45">
        <v>1.2899999999999999E-4</v>
      </c>
    </row>
    <row r="164" spans="1:16" x14ac:dyDescent="0.3">
      <c r="A164" s="43" t="s">
        <v>313</v>
      </c>
      <c r="B164" s="43" t="s">
        <v>314</v>
      </c>
      <c r="C164" s="43">
        <v>21</v>
      </c>
      <c r="D164" s="44">
        <v>23601300</v>
      </c>
      <c r="E164" s="43">
        <v>31</v>
      </c>
      <c r="F164" s="43">
        <v>0</v>
      </c>
      <c r="G164" s="44">
        <v>1009249</v>
      </c>
      <c r="H164" s="44">
        <v>642170.92000000004</v>
      </c>
      <c r="I164" s="44">
        <v>392683.51</v>
      </c>
      <c r="J164" s="44">
        <v>249487.41</v>
      </c>
      <c r="K164" s="45">
        <v>1.0571000000000001E-2</v>
      </c>
      <c r="L164" s="44">
        <v>6015697.1900000004</v>
      </c>
      <c r="M164" s="44">
        <v>7796670.21</v>
      </c>
      <c r="N164" s="45">
        <v>0.33029999999999998</v>
      </c>
      <c r="O164" s="45">
        <v>2.7517E-2</v>
      </c>
      <c r="P164" s="45">
        <v>3.97E-4</v>
      </c>
    </row>
    <row r="165" spans="1:16" x14ac:dyDescent="0.3">
      <c r="A165" s="43" t="s">
        <v>313</v>
      </c>
      <c r="B165" s="43" t="s">
        <v>314</v>
      </c>
      <c r="C165" s="43">
        <v>21</v>
      </c>
      <c r="D165" s="44">
        <v>23601300</v>
      </c>
      <c r="E165" s="43">
        <v>32</v>
      </c>
      <c r="F165" s="43">
        <v>0</v>
      </c>
      <c r="G165" s="44">
        <v>1058410.83</v>
      </c>
      <c r="H165" s="44">
        <v>675937.21</v>
      </c>
      <c r="I165" s="44">
        <v>411926.22</v>
      </c>
      <c r="J165" s="44">
        <v>264010.99</v>
      </c>
      <c r="K165" s="45">
        <v>1.1186E-2</v>
      </c>
      <c r="L165" s="44">
        <v>6344114.9199999999</v>
      </c>
      <c r="M165" s="44">
        <v>7135875.0499999998</v>
      </c>
      <c r="N165" s="45">
        <v>0.3024</v>
      </c>
      <c r="O165" s="45">
        <v>2.7407999999999998E-2</v>
      </c>
      <c r="P165" s="45">
        <v>6.0999999999999997E-4</v>
      </c>
    </row>
    <row r="166" spans="1:16" x14ac:dyDescent="0.3">
      <c r="A166" s="43" t="s">
        <v>313</v>
      </c>
      <c r="B166" s="43" t="s">
        <v>314</v>
      </c>
      <c r="C166" s="43">
        <v>21</v>
      </c>
      <c r="D166" s="44">
        <v>23601300</v>
      </c>
      <c r="E166" s="43">
        <v>33</v>
      </c>
      <c r="F166" s="43">
        <v>0</v>
      </c>
      <c r="G166" s="44">
        <v>1098133.1399999999</v>
      </c>
      <c r="H166" s="44">
        <v>705652.27</v>
      </c>
      <c r="I166" s="44">
        <v>425644.43</v>
      </c>
      <c r="J166" s="44">
        <v>280007.84000000003</v>
      </c>
      <c r="K166" s="45">
        <v>1.1864E-2</v>
      </c>
      <c r="L166" s="44">
        <v>6627208.4400000004</v>
      </c>
      <c r="M166" s="44">
        <v>6529843.6200000001</v>
      </c>
      <c r="N166" s="45">
        <v>0.2767</v>
      </c>
      <c r="O166" s="45">
        <v>3.3370999999999998E-2</v>
      </c>
      <c r="P166" s="45">
        <v>4.1399999999999998E-4</v>
      </c>
    </row>
    <row r="167" spans="1:16" x14ac:dyDescent="0.3">
      <c r="A167" s="43" t="s">
        <v>313</v>
      </c>
      <c r="B167" s="43" t="s">
        <v>314</v>
      </c>
      <c r="C167" s="43">
        <v>21</v>
      </c>
      <c r="D167" s="44">
        <v>23601300</v>
      </c>
      <c r="E167" s="43">
        <v>34</v>
      </c>
      <c r="F167" s="43">
        <v>0</v>
      </c>
      <c r="G167" s="44">
        <v>1150215.8799999999</v>
      </c>
      <c r="H167" s="44">
        <v>737560.18</v>
      </c>
      <c r="I167" s="44">
        <v>441552.72</v>
      </c>
      <c r="J167" s="44">
        <v>296007.46000000002</v>
      </c>
      <c r="K167" s="45">
        <v>1.2541999999999999E-2</v>
      </c>
      <c r="L167" s="44">
        <v>6820778.0899999999</v>
      </c>
      <c r="M167" s="44">
        <v>6000975.6299999999</v>
      </c>
      <c r="N167" s="45">
        <v>0.25430000000000003</v>
      </c>
      <c r="O167" s="45">
        <v>3.1719999999999998E-2</v>
      </c>
      <c r="P167" s="45">
        <v>7.8899999999999999E-4</v>
      </c>
    </row>
    <row r="168" spans="1:16" x14ac:dyDescent="0.3">
      <c r="A168" s="43" t="s">
        <v>313</v>
      </c>
      <c r="B168" s="43" t="s">
        <v>314</v>
      </c>
      <c r="C168" s="43">
        <v>21</v>
      </c>
      <c r="D168" s="44">
        <v>23601300</v>
      </c>
      <c r="E168" s="43">
        <v>35</v>
      </c>
      <c r="F168" s="43">
        <v>0</v>
      </c>
      <c r="G168" s="44">
        <v>1192580.6499999999</v>
      </c>
      <c r="H168" s="44">
        <v>765531.15</v>
      </c>
      <c r="I168" s="44">
        <v>462116.35</v>
      </c>
      <c r="J168" s="44">
        <v>303414.8</v>
      </c>
      <c r="K168" s="45">
        <v>1.2855999999999999E-2</v>
      </c>
      <c r="L168" s="44">
        <v>7007125.5199999996</v>
      </c>
      <c r="M168" s="44">
        <v>5489047.8300000001</v>
      </c>
      <c r="N168" s="45">
        <v>0.2326</v>
      </c>
      <c r="O168" s="45">
        <v>3.4460999999999999E-2</v>
      </c>
      <c r="P168" s="45">
        <v>1.9900000000000001E-4</v>
      </c>
    </row>
    <row r="169" spans="1:16" x14ac:dyDescent="0.3">
      <c r="A169" s="43" t="s">
        <v>313</v>
      </c>
      <c r="B169" s="43" t="s">
        <v>314</v>
      </c>
      <c r="C169" s="43">
        <v>21</v>
      </c>
      <c r="D169" s="44">
        <v>23601300</v>
      </c>
      <c r="E169" s="43">
        <v>36</v>
      </c>
      <c r="F169" s="43">
        <v>0</v>
      </c>
      <c r="G169" s="44">
        <v>1220332.33</v>
      </c>
      <c r="H169" s="44">
        <v>784350.66</v>
      </c>
      <c r="I169" s="44">
        <v>473141.66</v>
      </c>
      <c r="J169" s="44">
        <v>311209</v>
      </c>
      <c r="K169" s="45">
        <v>1.3186E-2</v>
      </c>
      <c r="L169" s="44">
        <v>7296410.9699999997</v>
      </c>
      <c r="M169" s="44">
        <v>4888795.0999999996</v>
      </c>
      <c r="N169" s="45">
        <v>0.20710000000000001</v>
      </c>
      <c r="O169" s="45">
        <v>3.1015999999999998E-2</v>
      </c>
      <c r="P169" s="45">
        <v>2.33E-4</v>
      </c>
    </row>
    <row r="170" spans="1:16" x14ac:dyDescent="0.3">
      <c r="A170" s="43" t="s">
        <v>315</v>
      </c>
      <c r="B170" s="43" t="s">
        <v>316</v>
      </c>
      <c r="C170" s="43">
        <v>36</v>
      </c>
      <c r="D170" s="44">
        <v>37183800</v>
      </c>
      <c r="E170" s="43">
        <v>0</v>
      </c>
      <c r="F170" s="43">
        <v>0</v>
      </c>
      <c r="G170" s="44">
        <v>0</v>
      </c>
      <c r="H170" s="44">
        <v>0</v>
      </c>
      <c r="I170" s="44">
        <v>0</v>
      </c>
      <c r="J170" s="44">
        <v>0</v>
      </c>
      <c r="K170" s="45">
        <v>0</v>
      </c>
      <c r="L170" s="44">
        <v>200170.27</v>
      </c>
      <c r="M170" s="44">
        <v>36983629.729999997</v>
      </c>
      <c r="N170" s="45">
        <v>0.99460000000000004</v>
      </c>
      <c r="O170" s="45">
        <v>2.4521000000000001E-2</v>
      </c>
      <c r="P170" s="45">
        <v>0</v>
      </c>
    </row>
    <row r="171" spans="1:16" x14ac:dyDescent="0.3">
      <c r="A171" s="43" t="s">
        <v>315</v>
      </c>
      <c r="B171" s="43" t="s">
        <v>316</v>
      </c>
      <c r="C171" s="43">
        <v>36</v>
      </c>
      <c r="D171" s="44">
        <v>37183800</v>
      </c>
      <c r="E171" s="43">
        <v>1</v>
      </c>
      <c r="F171" s="43">
        <v>0</v>
      </c>
      <c r="G171" s="44">
        <v>3483.4</v>
      </c>
      <c r="H171" s="44">
        <v>2364.4299999999998</v>
      </c>
      <c r="I171" s="44">
        <v>0</v>
      </c>
      <c r="J171" s="44">
        <v>2364.4299999999998</v>
      </c>
      <c r="K171" s="45">
        <v>6.3999999999999997E-5</v>
      </c>
      <c r="L171" s="44">
        <v>320446.90000000002</v>
      </c>
      <c r="M171" s="44">
        <v>36413664.100000001</v>
      </c>
      <c r="N171" s="45">
        <v>0.97929999999999995</v>
      </c>
      <c r="O171" s="45">
        <v>2.0159E-2</v>
      </c>
      <c r="P171" s="45">
        <v>5.3000000000000001E-5</v>
      </c>
    </row>
    <row r="172" spans="1:16" x14ac:dyDescent="0.3">
      <c r="A172" s="43" t="s">
        <v>315</v>
      </c>
      <c r="B172" s="43" t="s">
        <v>316</v>
      </c>
      <c r="C172" s="43">
        <v>36</v>
      </c>
      <c r="D172" s="44">
        <v>37183800</v>
      </c>
      <c r="E172" s="43">
        <v>2</v>
      </c>
      <c r="F172" s="43">
        <v>0</v>
      </c>
      <c r="G172" s="44">
        <v>9047.9500000000007</v>
      </c>
      <c r="H172" s="44">
        <v>6435.28</v>
      </c>
      <c r="I172" s="44">
        <v>0</v>
      </c>
      <c r="J172" s="44">
        <v>6435.28</v>
      </c>
      <c r="K172" s="45">
        <v>1.73E-4</v>
      </c>
      <c r="L172" s="44">
        <v>436961.56</v>
      </c>
      <c r="M172" s="44">
        <v>35845379.289999999</v>
      </c>
      <c r="N172" s="45">
        <v>0.96399999999999997</v>
      </c>
      <c r="O172" s="45">
        <v>1.6164999999999999E-2</v>
      </c>
      <c r="P172" s="45">
        <v>1.05E-4</v>
      </c>
    </row>
    <row r="173" spans="1:16" x14ac:dyDescent="0.3">
      <c r="A173" s="43" t="s">
        <v>315</v>
      </c>
      <c r="B173" s="43" t="s">
        <v>316</v>
      </c>
      <c r="C173" s="43">
        <v>36</v>
      </c>
      <c r="D173" s="44">
        <v>37183800</v>
      </c>
      <c r="E173" s="43">
        <v>3</v>
      </c>
      <c r="F173" s="43">
        <v>0</v>
      </c>
      <c r="G173" s="44">
        <v>19379.05</v>
      </c>
      <c r="H173" s="44">
        <v>13050.61</v>
      </c>
      <c r="I173" s="44">
        <v>0</v>
      </c>
      <c r="J173" s="44">
        <v>13050.61</v>
      </c>
      <c r="K173" s="45">
        <v>3.5100000000000002E-4</v>
      </c>
      <c r="L173" s="44">
        <v>563133.31999999995</v>
      </c>
      <c r="M173" s="44">
        <v>35262670.829999998</v>
      </c>
      <c r="N173" s="45">
        <v>0.94830000000000003</v>
      </c>
      <c r="O173" s="45">
        <v>1.7283E-2</v>
      </c>
      <c r="P173" s="45">
        <v>1.6200000000000001E-4</v>
      </c>
    </row>
    <row r="174" spans="1:16" x14ac:dyDescent="0.3">
      <c r="A174" s="43" t="s">
        <v>315</v>
      </c>
      <c r="B174" s="43" t="s">
        <v>316</v>
      </c>
      <c r="C174" s="43">
        <v>36</v>
      </c>
      <c r="D174" s="44">
        <v>37183800</v>
      </c>
      <c r="E174" s="43">
        <v>4</v>
      </c>
      <c r="F174" s="43">
        <v>0</v>
      </c>
      <c r="G174" s="44">
        <v>31623.53</v>
      </c>
      <c r="H174" s="44">
        <v>20878.14</v>
      </c>
      <c r="I174" s="44">
        <v>3723.36</v>
      </c>
      <c r="J174" s="44">
        <v>17154.79</v>
      </c>
      <c r="K174" s="45">
        <v>4.6099999999999998E-4</v>
      </c>
      <c r="L174" s="44">
        <v>798462.71</v>
      </c>
      <c r="M174" s="44">
        <v>34568891.359999999</v>
      </c>
      <c r="N174" s="45">
        <v>0.92969999999999997</v>
      </c>
      <c r="O174" s="45">
        <v>2.2166999999999999E-2</v>
      </c>
      <c r="P174" s="45">
        <v>1.46E-4</v>
      </c>
    </row>
    <row r="175" spans="1:16" x14ac:dyDescent="0.3">
      <c r="A175" s="43" t="s">
        <v>315</v>
      </c>
      <c r="B175" s="43" t="s">
        <v>316</v>
      </c>
      <c r="C175" s="43">
        <v>36</v>
      </c>
      <c r="D175" s="44">
        <v>37183800</v>
      </c>
      <c r="E175" s="43">
        <v>5</v>
      </c>
      <c r="F175" s="43">
        <v>0</v>
      </c>
      <c r="G175" s="44">
        <v>46191.63</v>
      </c>
      <c r="H175" s="44">
        <v>30196.49</v>
      </c>
      <c r="I175" s="44">
        <v>10504.47</v>
      </c>
      <c r="J175" s="44">
        <v>19692.02</v>
      </c>
      <c r="K175" s="45">
        <v>5.2999999999999998E-4</v>
      </c>
      <c r="L175" s="44">
        <v>995865.09</v>
      </c>
      <c r="M175" s="44">
        <v>33910715.280000001</v>
      </c>
      <c r="N175" s="45">
        <v>0.91200000000000003</v>
      </c>
      <c r="O175" s="45">
        <v>2.2794999999999999E-2</v>
      </c>
      <c r="P175" s="45">
        <v>9.5000000000000005E-5</v>
      </c>
    </row>
    <row r="176" spans="1:16" x14ac:dyDescent="0.3">
      <c r="A176" s="43" t="s">
        <v>315</v>
      </c>
      <c r="B176" s="43" t="s">
        <v>316</v>
      </c>
      <c r="C176" s="43">
        <v>36</v>
      </c>
      <c r="D176" s="44">
        <v>37183800</v>
      </c>
      <c r="E176" s="43">
        <v>6</v>
      </c>
      <c r="F176" s="43">
        <v>0</v>
      </c>
      <c r="G176" s="44">
        <v>67317.75</v>
      </c>
      <c r="H176" s="44">
        <v>43019.44</v>
      </c>
      <c r="I176" s="44">
        <v>20360.349999999999</v>
      </c>
      <c r="J176" s="44">
        <v>22659.09</v>
      </c>
      <c r="K176" s="45">
        <v>6.0899999999999995E-4</v>
      </c>
      <c r="L176" s="44">
        <v>1236299.08</v>
      </c>
      <c r="M176" s="44">
        <v>33202949.579999998</v>
      </c>
      <c r="N176" s="45">
        <v>0.89290000000000003</v>
      </c>
      <c r="O176" s="45">
        <v>2.3143E-2</v>
      </c>
      <c r="P176" s="45">
        <v>1.18E-4</v>
      </c>
    </row>
    <row r="177" spans="1:16" x14ac:dyDescent="0.3">
      <c r="A177" s="43" t="s">
        <v>315</v>
      </c>
      <c r="B177" s="43" t="s">
        <v>316</v>
      </c>
      <c r="C177" s="43">
        <v>36</v>
      </c>
      <c r="D177" s="44">
        <v>37183800</v>
      </c>
      <c r="E177" s="43">
        <v>7</v>
      </c>
      <c r="F177" s="43">
        <v>0</v>
      </c>
      <c r="G177" s="44">
        <v>84378.79</v>
      </c>
      <c r="H177" s="44">
        <v>52826.95</v>
      </c>
      <c r="I177" s="44">
        <v>28441.31</v>
      </c>
      <c r="J177" s="44">
        <v>24385.63</v>
      </c>
      <c r="K177" s="45">
        <v>6.5600000000000001E-4</v>
      </c>
      <c r="L177" s="44">
        <v>1391083.07</v>
      </c>
      <c r="M177" s="44">
        <v>32584898.940000001</v>
      </c>
      <c r="N177" s="45">
        <v>0.87629999999999997</v>
      </c>
      <c r="O177" s="45">
        <v>2.0125000000000001E-2</v>
      </c>
      <c r="P177" s="45">
        <v>1.13E-4</v>
      </c>
    </row>
    <row r="178" spans="1:16" x14ac:dyDescent="0.3">
      <c r="A178" s="43" t="s">
        <v>315</v>
      </c>
      <c r="B178" s="43" t="s">
        <v>316</v>
      </c>
      <c r="C178" s="43">
        <v>36</v>
      </c>
      <c r="D178" s="44">
        <v>37183800</v>
      </c>
      <c r="E178" s="43">
        <v>8</v>
      </c>
      <c r="F178" s="43">
        <v>0</v>
      </c>
      <c r="G178" s="44">
        <v>117127.95</v>
      </c>
      <c r="H178" s="44">
        <v>74460.33</v>
      </c>
      <c r="I178" s="44">
        <v>40597.449999999997</v>
      </c>
      <c r="J178" s="44">
        <v>33862.879999999997</v>
      </c>
      <c r="K178" s="45">
        <v>9.1100000000000003E-4</v>
      </c>
      <c r="L178" s="44">
        <v>1718926.22</v>
      </c>
      <c r="M178" s="44">
        <v>31778101.030000001</v>
      </c>
      <c r="N178" s="45">
        <v>0.85460000000000003</v>
      </c>
      <c r="O178" s="45">
        <v>2.3012000000000001E-2</v>
      </c>
      <c r="P178" s="45">
        <v>1.75E-4</v>
      </c>
    </row>
    <row r="179" spans="1:16" x14ac:dyDescent="0.3">
      <c r="A179" s="43" t="s">
        <v>315</v>
      </c>
      <c r="B179" s="43" t="s">
        <v>316</v>
      </c>
      <c r="C179" s="43">
        <v>36</v>
      </c>
      <c r="D179" s="44">
        <v>37183800</v>
      </c>
      <c r="E179" s="43">
        <v>9</v>
      </c>
      <c r="F179" s="43">
        <v>0</v>
      </c>
      <c r="G179" s="44">
        <v>158262.72</v>
      </c>
      <c r="H179" s="44">
        <v>102282.6</v>
      </c>
      <c r="I179" s="44">
        <v>56497.42</v>
      </c>
      <c r="J179" s="44">
        <v>45785.17</v>
      </c>
      <c r="K179" s="45">
        <v>1.2310000000000001E-3</v>
      </c>
      <c r="L179" s="44">
        <v>1989962.02</v>
      </c>
      <c r="M179" s="44">
        <v>31019724.859999999</v>
      </c>
      <c r="N179" s="45">
        <v>0.83420000000000005</v>
      </c>
      <c r="O179" s="45">
        <v>2.4847000000000001E-2</v>
      </c>
      <c r="P179" s="45">
        <v>3.9300000000000001E-4</v>
      </c>
    </row>
    <row r="180" spans="1:16" x14ac:dyDescent="0.3">
      <c r="A180" s="43" t="s">
        <v>315</v>
      </c>
      <c r="B180" s="43" t="s">
        <v>316</v>
      </c>
      <c r="C180" s="43">
        <v>36</v>
      </c>
      <c r="D180" s="44">
        <v>37183800</v>
      </c>
      <c r="E180" s="43">
        <v>10</v>
      </c>
      <c r="F180" s="43">
        <v>0</v>
      </c>
      <c r="G180" s="44">
        <v>200055.06</v>
      </c>
      <c r="H180" s="44">
        <v>126941.05</v>
      </c>
      <c r="I180" s="44">
        <v>71068.36</v>
      </c>
      <c r="J180" s="44">
        <v>55872.69</v>
      </c>
      <c r="K180" s="45">
        <v>1.503E-3</v>
      </c>
      <c r="L180" s="44">
        <v>2410360.42</v>
      </c>
      <c r="M180" s="44">
        <v>30111328.52</v>
      </c>
      <c r="N180" s="45">
        <v>0.80979999999999996</v>
      </c>
      <c r="O180" s="45">
        <v>1.9275E-2</v>
      </c>
      <c r="P180" s="45">
        <v>3.6000000000000002E-4</v>
      </c>
    </row>
    <row r="181" spans="1:16" x14ac:dyDescent="0.3">
      <c r="A181" s="43" t="s">
        <v>315</v>
      </c>
      <c r="B181" s="43" t="s">
        <v>316</v>
      </c>
      <c r="C181" s="43">
        <v>36</v>
      </c>
      <c r="D181" s="44">
        <v>37183800</v>
      </c>
      <c r="E181" s="43">
        <v>11</v>
      </c>
      <c r="F181" s="43">
        <v>0</v>
      </c>
      <c r="G181" s="44">
        <v>253961.24</v>
      </c>
      <c r="H181" s="44">
        <v>164619.81</v>
      </c>
      <c r="I181" s="44">
        <v>91039.51</v>
      </c>
      <c r="J181" s="44">
        <v>73580.3</v>
      </c>
      <c r="K181" s="45">
        <v>1.9789999999999999E-3</v>
      </c>
      <c r="L181" s="44">
        <v>2790754.08</v>
      </c>
      <c r="M181" s="44">
        <v>29230823.07</v>
      </c>
      <c r="N181" s="45">
        <v>0.78610000000000002</v>
      </c>
      <c r="O181" s="45">
        <v>2.6200000000000001E-2</v>
      </c>
      <c r="P181" s="45">
        <v>2.9E-4</v>
      </c>
    </row>
    <row r="182" spans="1:16" x14ac:dyDescent="0.3">
      <c r="A182" s="43" t="s">
        <v>315</v>
      </c>
      <c r="B182" s="43" t="s">
        <v>316</v>
      </c>
      <c r="C182" s="43">
        <v>36</v>
      </c>
      <c r="D182" s="44">
        <v>37183800</v>
      </c>
      <c r="E182" s="43">
        <v>12</v>
      </c>
      <c r="F182" s="43">
        <v>0</v>
      </c>
      <c r="G182" s="44">
        <v>303137.28999999998</v>
      </c>
      <c r="H182" s="44">
        <v>196654.23</v>
      </c>
      <c r="I182" s="44">
        <v>107935.6</v>
      </c>
      <c r="J182" s="44">
        <v>88718.64</v>
      </c>
      <c r="K182" s="45">
        <v>2.3860000000000001E-3</v>
      </c>
      <c r="L182" s="44">
        <v>3208944.67</v>
      </c>
      <c r="M182" s="44">
        <v>28317250.84</v>
      </c>
      <c r="N182" s="45">
        <v>0.76149999999999995</v>
      </c>
      <c r="O182" s="45">
        <v>1.9886999999999998E-2</v>
      </c>
      <c r="P182" s="45">
        <v>4.95E-4</v>
      </c>
    </row>
    <row r="183" spans="1:16" x14ac:dyDescent="0.3">
      <c r="A183" s="43" t="s">
        <v>315</v>
      </c>
      <c r="B183" s="43" t="s">
        <v>316</v>
      </c>
      <c r="C183" s="43">
        <v>36</v>
      </c>
      <c r="D183" s="44">
        <v>37183800</v>
      </c>
      <c r="E183" s="43">
        <v>13</v>
      </c>
      <c r="F183" s="43">
        <v>0</v>
      </c>
      <c r="G183" s="44">
        <v>345407.41</v>
      </c>
      <c r="H183" s="44">
        <v>227402.03</v>
      </c>
      <c r="I183" s="44">
        <v>126623.45</v>
      </c>
      <c r="J183" s="44">
        <v>100778.58</v>
      </c>
      <c r="K183" s="45">
        <v>2.7100000000000002E-3</v>
      </c>
      <c r="L183" s="44">
        <v>3556154.28</v>
      </c>
      <c r="M183" s="44">
        <v>27481565.5</v>
      </c>
      <c r="N183" s="45">
        <v>0.73909999999999998</v>
      </c>
      <c r="O183" s="45">
        <v>1.9869000000000001E-2</v>
      </c>
      <c r="P183" s="45">
        <v>2.43E-4</v>
      </c>
    </row>
    <row r="184" spans="1:16" x14ac:dyDescent="0.3">
      <c r="A184" s="43" t="s">
        <v>315</v>
      </c>
      <c r="B184" s="43" t="s">
        <v>316</v>
      </c>
      <c r="C184" s="43">
        <v>36</v>
      </c>
      <c r="D184" s="44">
        <v>37183800</v>
      </c>
      <c r="E184" s="43">
        <v>14</v>
      </c>
      <c r="F184" s="43">
        <v>0</v>
      </c>
      <c r="G184" s="44">
        <v>416167.57</v>
      </c>
      <c r="H184" s="44">
        <v>277971.46000000002</v>
      </c>
      <c r="I184" s="44">
        <v>149462.41</v>
      </c>
      <c r="J184" s="44">
        <v>128509.05</v>
      </c>
      <c r="K184" s="45">
        <v>3.4559999999999999E-3</v>
      </c>
      <c r="L184" s="44">
        <v>3774938.09</v>
      </c>
      <c r="M184" s="44">
        <v>26745815.940000001</v>
      </c>
      <c r="N184" s="45">
        <v>0.71930000000000005</v>
      </c>
      <c r="O184" s="45">
        <v>2.4663000000000001E-2</v>
      </c>
      <c r="P184" s="45">
        <v>5.9500000000000004E-4</v>
      </c>
    </row>
    <row r="185" spans="1:16" x14ac:dyDescent="0.3">
      <c r="A185" s="43" t="s">
        <v>315</v>
      </c>
      <c r="B185" s="43" t="s">
        <v>316</v>
      </c>
      <c r="C185" s="43">
        <v>36</v>
      </c>
      <c r="D185" s="44">
        <v>37183800</v>
      </c>
      <c r="E185" s="43">
        <v>15</v>
      </c>
      <c r="F185" s="43">
        <v>0</v>
      </c>
      <c r="G185" s="44">
        <v>476364.72</v>
      </c>
      <c r="H185" s="44">
        <v>315763.44</v>
      </c>
      <c r="I185" s="44">
        <v>175747.7</v>
      </c>
      <c r="J185" s="44">
        <v>140015.73000000001</v>
      </c>
      <c r="K185" s="45">
        <v>3.7659999999999998E-3</v>
      </c>
      <c r="L185" s="44">
        <v>3988137.92</v>
      </c>
      <c r="M185" s="44">
        <v>26026213.359999999</v>
      </c>
      <c r="N185" s="45">
        <v>0.69989999999999997</v>
      </c>
      <c r="O185" s="45">
        <v>2.8025000000000001E-2</v>
      </c>
      <c r="P185" s="45">
        <v>4.0700000000000003E-4</v>
      </c>
    </row>
    <row r="186" spans="1:16" x14ac:dyDescent="0.3">
      <c r="A186" s="43" t="s">
        <v>315</v>
      </c>
      <c r="B186" s="43" t="s">
        <v>316</v>
      </c>
      <c r="C186" s="43">
        <v>36</v>
      </c>
      <c r="D186" s="44">
        <v>37183800</v>
      </c>
      <c r="E186" s="43">
        <v>16</v>
      </c>
      <c r="F186" s="43">
        <v>0</v>
      </c>
      <c r="G186" s="44">
        <v>538375.06999999995</v>
      </c>
      <c r="H186" s="44">
        <v>357483.01</v>
      </c>
      <c r="I186" s="44">
        <v>204738.52</v>
      </c>
      <c r="J186" s="44">
        <v>152744.49</v>
      </c>
      <c r="K186" s="45">
        <v>4.1079999999999997E-3</v>
      </c>
      <c r="L186" s="44">
        <v>4175807.64</v>
      </c>
      <c r="M186" s="44">
        <v>25330327.690000001</v>
      </c>
      <c r="N186" s="45">
        <v>0.68120000000000003</v>
      </c>
      <c r="O186" s="45">
        <v>2.5602E-2</v>
      </c>
      <c r="P186" s="45">
        <v>2.2699999999999999E-4</v>
      </c>
    </row>
    <row r="187" spans="1:16" x14ac:dyDescent="0.3">
      <c r="A187" s="43" t="s">
        <v>315</v>
      </c>
      <c r="B187" s="43" t="s">
        <v>316</v>
      </c>
      <c r="C187" s="43">
        <v>36</v>
      </c>
      <c r="D187" s="44">
        <v>37183800</v>
      </c>
      <c r="E187" s="43">
        <v>17</v>
      </c>
      <c r="F187" s="43">
        <v>0</v>
      </c>
      <c r="G187" s="44">
        <v>588711.15</v>
      </c>
      <c r="H187" s="44">
        <v>385734.46</v>
      </c>
      <c r="I187" s="44">
        <v>222964.93</v>
      </c>
      <c r="J187" s="44">
        <v>162769.53</v>
      </c>
      <c r="K187" s="45">
        <v>4.3769999999999998E-3</v>
      </c>
      <c r="L187" s="44">
        <v>4543210.29</v>
      </c>
      <c r="M187" s="44">
        <v>24466383.359999999</v>
      </c>
      <c r="N187" s="45">
        <v>0.65800000000000003</v>
      </c>
      <c r="O187" s="45">
        <v>2.5429E-2</v>
      </c>
      <c r="P187" s="45">
        <v>2.99E-4</v>
      </c>
    </row>
    <row r="188" spans="1:16" x14ac:dyDescent="0.3">
      <c r="A188" s="43" t="s">
        <v>315</v>
      </c>
      <c r="B188" s="43" t="s">
        <v>316</v>
      </c>
      <c r="C188" s="43">
        <v>36</v>
      </c>
      <c r="D188" s="44">
        <v>37183800</v>
      </c>
      <c r="E188" s="43">
        <v>18</v>
      </c>
      <c r="F188" s="43">
        <v>0</v>
      </c>
      <c r="G188" s="44">
        <v>656709.48</v>
      </c>
      <c r="H188" s="44">
        <v>426192.21</v>
      </c>
      <c r="I188" s="44">
        <v>250380.35</v>
      </c>
      <c r="J188" s="44">
        <v>175811.87</v>
      </c>
      <c r="K188" s="45">
        <v>4.7280000000000004E-3</v>
      </c>
      <c r="L188" s="44">
        <v>4825951.1100000003</v>
      </c>
      <c r="M188" s="44">
        <v>23669438.600000001</v>
      </c>
      <c r="N188" s="45">
        <v>0.63660000000000005</v>
      </c>
      <c r="O188" s="45">
        <v>2.7948000000000001E-2</v>
      </c>
      <c r="P188" s="45">
        <v>5.9900000000000003E-4</v>
      </c>
    </row>
    <row r="189" spans="1:16" x14ac:dyDescent="0.3">
      <c r="A189" s="43" t="s">
        <v>315</v>
      </c>
      <c r="B189" s="43" t="s">
        <v>316</v>
      </c>
      <c r="C189" s="43">
        <v>36</v>
      </c>
      <c r="D189" s="44">
        <v>37183800</v>
      </c>
      <c r="E189" s="43">
        <v>19</v>
      </c>
      <c r="F189" s="43">
        <v>0</v>
      </c>
      <c r="G189" s="44">
        <v>734612.17</v>
      </c>
      <c r="H189" s="44">
        <v>470965.42</v>
      </c>
      <c r="I189" s="44">
        <v>282881.28999999998</v>
      </c>
      <c r="J189" s="44">
        <v>188084.12</v>
      </c>
      <c r="K189" s="45">
        <v>5.058E-3</v>
      </c>
      <c r="L189" s="44">
        <v>5261681.82</v>
      </c>
      <c r="M189" s="44">
        <v>22709599.609999999</v>
      </c>
      <c r="N189" s="45">
        <v>0.61070000000000002</v>
      </c>
      <c r="O189" s="45">
        <v>2.6152000000000002E-2</v>
      </c>
      <c r="P189" s="45">
        <v>3.9500000000000001E-4</v>
      </c>
    </row>
    <row r="190" spans="1:16" x14ac:dyDescent="0.3">
      <c r="A190" s="43" t="s">
        <v>315</v>
      </c>
      <c r="B190" s="43" t="s">
        <v>316</v>
      </c>
      <c r="C190" s="43">
        <v>36</v>
      </c>
      <c r="D190" s="44">
        <v>37183800</v>
      </c>
      <c r="E190" s="43">
        <v>20</v>
      </c>
      <c r="F190" s="43">
        <v>0</v>
      </c>
      <c r="G190" s="44">
        <v>830969.53</v>
      </c>
      <c r="H190" s="44">
        <v>541151.65</v>
      </c>
      <c r="I190" s="44">
        <v>329340.5</v>
      </c>
      <c r="J190" s="44">
        <v>211811.16</v>
      </c>
      <c r="K190" s="45">
        <v>5.6959999999999997E-3</v>
      </c>
      <c r="L190" s="44">
        <v>5710160.5300000003</v>
      </c>
      <c r="M190" s="44">
        <v>21718557.940000001</v>
      </c>
      <c r="N190" s="45">
        <v>0.58409999999999995</v>
      </c>
      <c r="O190" s="45">
        <v>2.2724999999999999E-2</v>
      </c>
      <c r="P190" s="45">
        <v>5.9500000000000004E-4</v>
      </c>
    </row>
    <row r="191" spans="1:16" x14ac:dyDescent="0.3">
      <c r="A191" s="43" t="s">
        <v>315</v>
      </c>
      <c r="B191" s="43" t="s">
        <v>316</v>
      </c>
      <c r="C191" s="43">
        <v>36</v>
      </c>
      <c r="D191" s="44">
        <v>37183800</v>
      </c>
      <c r="E191" s="43">
        <v>21</v>
      </c>
      <c r="F191" s="43">
        <v>0</v>
      </c>
      <c r="G191" s="44">
        <v>911457.52</v>
      </c>
      <c r="H191" s="44">
        <v>586494.87</v>
      </c>
      <c r="I191" s="44">
        <v>358681.12</v>
      </c>
      <c r="J191" s="44">
        <v>227813.74</v>
      </c>
      <c r="K191" s="45">
        <v>6.1269999999999996E-3</v>
      </c>
      <c r="L191" s="44">
        <v>6201168.3899999997</v>
      </c>
      <c r="M191" s="44">
        <v>20700856.5</v>
      </c>
      <c r="N191" s="45">
        <v>0.55669999999999997</v>
      </c>
      <c r="O191" s="45">
        <v>2.9391E-2</v>
      </c>
      <c r="P191" s="45">
        <v>8.2600000000000002E-4</v>
      </c>
    </row>
    <row r="192" spans="1:16" x14ac:dyDescent="0.3">
      <c r="A192" s="43" t="s">
        <v>315</v>
      </c>
      <c r="B192" s="43" t="s">
        <v>316</v>
      </c>
      <c r="C192" s="43">
        <v>36</v>
      </c>
      <c r="D192" s="44">
        <v>37183800</v>
      </c>
      <c r="E192" s="43">
        <v>22</v>
      </c>
      <c r="F192" s="43">
        <v>0</v>
      </c>
      <c r="G192" s="44">
        <v>992893.26</v>
      </c>
      <c r="H192" s="44">
        <v>646513.96</v>
      </c>
      <c r="I192" s="44">
        <v>389968.28</v>
      </c>
      <c r="J192" s="44">
        <v>256545.68</v>
      </c>
      <c r="K192" s="45">
        <v>6.8989999999999998E-3</v>
      </c>
      <c r="L192" s="44">
        <v>6445381.1699999999</v>
      </c>
      <c r="M192" s="44">
        <v>19929002.370000001</v>
      </c>
      <c r="N192" s="45">
        <v>0.53600000000000003</v>
      </c>
      <c r="O192" s="45">
        <v>3.0522000000000001E-2</v>
      </c>
      <c r="P192" s="45">
        <v>7.9699999999999997E-4</v>
      </c>
    </row>
    <row r="193" spans="1:16" x14ac:dyDescent="0.3">
      <c r="A193" s="43" t="s">
        <v>315</v>
      </c>
      <c r="B193" s="43" t="s">
        <v>316</v>
      </c>
      <c r="C193" s="43">
        <v>36</v>
      </c>
      <c r="D193" s="44">
        <v>37183800</v>
      </c>
      <c r="E193" s="43">
        <v>23</v>
      </c>
      <c r="F193" s="43">
        <v>0</v>
      </c>
      <c r="G193" s="44">
        <v>1077933.3500000001</v>
      </c>
      <c r="H193" s="44">
        <v>703005.21</v>
      </c>
      <c r="I193" s="44">
        <v>427321.52</v>
      </c>
      <c r="J193" s="44">
        <v>275683.7</v>
      </c>
      <c r="K193" s="45">
        <v>7.4139999999999996E-3</v>
      </c>
      <c r="L193" s="44">
        <v>6772821.0499999998</v>
      </c>
      <c r="M193" s="44">
        <v>19070316.800000001</v>
      </c>
      <c r="N193" s="45">
        <v>0.51290000000000002</v>
      </c>
      <c r="O193" s="45">
        <v>2.5277999999999998E-2</v>
      </c>
      <c r="P193" s="45">
        <v>3.7100000000000002E-4</v>
      </c>
    </row>
    <row r="194" spans="1:16" x14ac:dyDescent="0.3">
      <c r="A194" s="43" t="s">
        <v>315</v>
      </c>
      <c r="B194" s="43" t="s">
        <v>316</v>
      </c>
      <c r="C194" s="43">
        <v>36</v>
      </c>
      <c r="D194" s="44">
        <v>37183800</v>
      </c>
      <c r="E194" s="43">
        <v>24</v>
      </c>
      <c r="F194" s="43">
        <v>0</v>
      </c>
      <c r="G194" s="44">
        <v>1183133.6000000001</v>
      </c>
      <c r="H194" s="44">
        <v>769062.8</v>
      </c>
      <c r="I194" s="44">
        <v>465579.46</v>
      </c>
      <c r="J194" s="44">
        <v>303483.34000000003</v>
      </c>
      <c r="K194" s="45">
        <v>8.1620000000000009E-3</v>
      </c>
      <c r="L194" s="44">
        <v>6993135.0700000003</v>
      </c>
      <c r="M194" s="44">
        <v>18298596.93</v>
      </c>
      <c r="N194" s="45">
        <v>0.49209999999999998</v>
      </c>
      <c r="O194" s="45">
        <v>3.0759999999999999E-2</v>
      </c>
      <c r="P194" s="45">
        <v>8.6799999999999996E-4</v>
      </c>
    </row>
    <row r="195" spans="1:16" x14ac:dyDescent="0.3">
      <c r="A195" s="43" t="s">
        <v>315</v>
      </c>
      <c r="B195" s="43" t="s">
        <v>316</v>
      </c>
      <c r="C195" s="43">
        <v>36</v>
      </c>
      <c r="D195" s="44">
        <v>37183800</v>
      </c>
      <c r="E195" s="43">
        <v>25</v>
      </c>
      <c r="F195" s="43">
        <v>0</v>
      </c>
      <c r="G195" s="44">
        <v>1269854.78</v>
      </c>
      <c r="H195" s="44">
        <v>822616.16</v>
      </c>
      <c r="I195" s="44">
        <v>498532.52</v>
      </c>
      <c r="J195" s="44">
        <v>324083.65000000002</v>
      </c>
      <c r="K195" s="45">
        <v>8.7159999999999998E-3</v>
      </c>
      <c r="L195" s="44">
        <v>7431457.3099999996</v>
      </c>
      <c r="M195" s="44">
        <v>17327347.91</v>
      </c>
      <c r="N195" s="45">
        <v>0.46600000000000003</v>
      </c>
      <c r="O195" s="45">
        <v>3.2912999999999998E-2</v>
      </c>
      <c r="P195" s="45">
        <v>4.1800000000000002E-4</v>
      </c>
    </row>
    <row r="196" spans="1:16" x14ac:dyDescent="0.3">
      <c r="A196" s="43" t="s">
        <v>315</v>
      </c>
      <c r="B196" s="43" t="s">
        <v>316</v>
      </c>
      <c r="C196" s="43">
        <v>36</v>
      </c>
      <c r="D196" s="44">
        <v>37183800</v>
      </c>
      <c r="E196" s="43">
        <v>26</v>
      </c>
      <c r="F196" s="43">
        <v>0</v>
      </c>
      <c r="G196" s="44">
        <v>1367595.41</v>
      </c>
      <c r="H196" s="44">
        <v>885459.75</v>
      </c>
      <c r="I196" s="44">
        <v>545094.77</v>
      </c>
      <c r="J196" s="44">
        <v>340364.98</v>
      </c>
      <c r="K196" s="45">
        <v>9.1540000000000007E-3</v>
      </c>
      <c r="L196" s="44">
        <v>7842485.1500000004</v>
      </c>
      <c r="M196" s="44">
        <v>16372373.84</v>
      </c>
      <c r="N196" s="45">
        <v>0.44030000000000002</v>
      </c>
      <c r="O196" s="45">
        <v>2.9963E-2</v>
      </c>
      <c r="P196" s="45">
        <v>6.7400000000000001E-4</v>
      </c>
    </row>
    <row r="197" spans="1:16" x14ac:dyDescent="0.3">
      <c r="A197" s="43" t="s">
        <v>315</v>
      </c>
      <c r="B197" s="43" t="s">
        <v>316</v>
      </c>
      <c r="C197" s="43">
        <v>36</v>
      </c>
      <c r="D197" s="44">
        <v>37183800</v>
      </c>
      <c r="E197" s="43">
        <v>27</v>
      </c>
      <c r="F197" s="43">
        <v>0</v>
      </c>
      <c r="G197" s="44">
        <v>1464541.08</v>
      </c>
      <c r="H197" s="44">
        <v>947716.36</v>
      </c>
      <c r="I197" s="44">
        <v>590974.18000000005</v>
      </c>
      <c r="J197" s="44">
        <v>356742.18</v>
      </c>
      <c r="K197" s="45">
        <v>9.5940000000000001E-3</v>
      </c>
      <c r="L197" s="44">
        <v>8304736.9800000004</v>
      </c>
      <c r="M197" s="44">
        <v>15366970.74</v>
      </c>
      <c r="N197" s="45">
        <v>0.4133</v>
      </c>
      <c r="O197" s="45">
        <v>3.0360999999999999E-2</v>
      </c>
      <c r="P197" s="45">
        <v>6.6500000000000001E-4</v>
      </c>
    </row>
    <row r="198" spans="1:16" x14ac:dyDescent="0.3">
      <c r="A198" s="43" t="s">
        <v>315</v>
      </c>
      <c r="B198" s="43" t="s">
        <v>316</v>
      </c>
      <c r="C198" s="43">
        <v>36</v>
      </c>
      <c r="D198" s="44">
        <v>37183800</v>
      </c>
      <c r="E198" s="43">
        <v>28</v>
      </c>
      <c r="F198" s="43">
        <v>0</v>
      </c>
      <c r="G198" s="44">
        <v>1568088.73</v>
      </c>
      <c r="H198" s="44">
        <v>1006045.64</v>
      </c>
      <c r="I198" s="44">
        <v>630706.18999999994</v>
      </c>
      <c r="J198" s="44">
        <v>375339.45</v>
      </c>
      <c r="K198" s="45">
        <v>1.0094000000000001E-2</v>
      </c>
      <c r="L198" s="44">
        <v>8694898.2799999993</v>
      </c>
      <c r="M198" s="44">
        <v>14427056.189999999</v>
      </c>
      <c r="N198" s="45">
        <v>0.38800000000000001</v>
      </c>
      <c r="O198" s="45">
        <v>2.6394999999999998E-2</v>
      </c>
      <c r="P198" s="45">
        <v>9.990000000000001E-4</v>
      </c>
    </row>
    <row r="199" spans="1:16" x14ac:dyDescent="0.3">
      <c r="A199" s="43" t="s">
        <v>315</v>
      </c>
      <c r="B199" s="43" t="s">
        <v>316</v>
      </c>
      <c r="C199" s="43">
        <v>36</v>
      </c>
      <c r="D199" s="44">
        <v>37183800</v>
      </c>
      <c r="E199" s="43">
        <v>29</v>
      </c>
      <c r="F199" s="43">
        <v>0</v>
      </c>
      <c r="G199" s="44">
        <v>1675066.73</v>
      </c>
      <c r="H199" s="44">
        <v>1075128.22</v>
      </c>
      <c r="I199" s="44">
        <v>673031.37</v>
      </c>
      <c r="J199" s="44">
        <v>402096.85</v>
      </c>
      <c r="K199" s="45">
        <v>1.0814000000000001E-2</v>
      </c>
      <c r="L199" s="44">
        <v>8943161.1199999992</v>
      </c>
      <c r="M199" s="44">
        <v>13625609.75</v>
      </c>
      <c r="N199" s="45">
        <v>0.3664</v>
      </c>
      <c r="O199" s="45">
        <v>2.6929999999999999E-2</v>
      </c>
      <c r="P199" s="45">
        <v>6.1300000000000005E-4</v>
      </c>
    </row>
    <row r="200" spans="1:16" x14ac:dyDescent="0.3">
      <c r="A200" s="43" t="s">
        <v>315</v>
      </c>
      <c r="B200" s="43" t="s">
        <v>316</v>
      </c>
      <c r="C200" s="43">
        <v>36</v>
      </c>
      <c r="D200" s="44">
        <v>37183800</v>
      </c>
      <c r="E200" s="43">
        <v>30</v>
      </c>
      <c r="F200" s="43">
        <v>0</v>
      </c>
      <c r="G200" s="44">
        <v>1768482.66</v>
      </c>
      <c r="H200" s="44">
        <v>1140238.6499999999</v>
      </c>
      <c r="I200" s="44">
        <v>713208.74</v>
      </c>
      <c r="J200" s="44">
        <v>427029.91</v>
      </c>
      <c r="K200" s="45">
        <v>1.1483999999999999E-2</v>
      </c>
      <c r="L200" s="44">
        <v>9396388.0899999999</v>
      </c>
      <c r="M200" s="44">
        <v>12632761.26</v>
      </c>
      <c r="N200" s="45">
        <v>0.3397</v>
      </c>
      <c r="O200" s="45">
        <v>3.4451000000000002E-2</v>
      </c>
      <c r="P200" s="45">
        <v>3.4900000000000003E-4</v>
      </c>
    </row>
    <row r="201" spans="1:16" x14ac:dyDescent="0.3">
      <c r="A201" s="43" t="s">
        <v>315</v>
      </c>
      <c r="B201" s="43" t="s">
        <v>316</v>
      </c>
      <c r="C201" s="43">
        <v>36</v>
      </c>
      <c r="D201" s="44">
        <v>37183800</v>
      </c>
      <c r="E201" s="43">
        <v>31</v>
      </c>
      <c r="F201" s="43">
        <v>0</v>
      </c>
      <c r="G201" s="44">
        <v>1845671.5</v>
      </c>
      <c r="H201" s="44">
        <v>1195187.51</v>
      </c>
      <c r="I201" s="44">
        <v>749325.19</v>
      </c>
      <c r="J201" s="44">
        <v>445862.33</v>
      </c>
      <c r="K201" s="45">
        <v>1.1991E-2</v>
      </c>
      <c r="L201" s="44">
        <v>9686275.7599999998</v>
      </c>
      <c r="M201" s="44">
        <v>11819479.140000001</v>
      </c>
      <c r="N201" s="45">
        <v>0.31790000000000002</v>
      </c>
      <c r="O201" s="45">
        <v>2.9451000000000001E-2</v>
      </c>
      <c r="P201" s="45">
        <v>5.4900000000000001E-4</v>
      </c>
    </row>
    <row r="202" spans="1:16" x14ac:dyDescent="0.3">
      <c r="A202" s="43" t="s">
        <v>315</v>
      </c>
      <c r="B202" s="43" t="s">
        <v>316</v>
      </c>
      <c r="C202" s="43">
        <v>36</v>
      </c>
      <c r="D202" s="44">
        <v>37183800</v>
      </c>
      <c r="E202" s="43">
        <v>32</v>
      </c>
      <c r="F202" s="43">
        <v>0</v>
      </c>
      <c r="G202" s="44">
        <v>1902357.66</v>
      </c>
      <c r="H202" s="44">
        <v>1227432.24</v>
      </c>
      <c r="I202" s="44">
        <v>769875.86</v>
      </c>
      <c r="J202" s="44">
        <v>457556.38</v>
      </c>
      <c r="K202" s="45">
        <v>1.2305E-2</v>
      </c>
      <c r="L202" s="44">
        <v>10249042.74</v>
      </c>
      <c r="M202" s="44">
        <v>10753820.4</v>
      </c>
      <c r="N202" s="45">
        <v>0.28920000000000001</v>
      </c>
      <c r="O202" s="45">
        <v>3.1109000000000001E-2</v>
      </c>
      <c r="P202" s="45">
        <v>4.84E-4</v>
      </c>
    </row>
    <row r="203" spans="1:16" x14ac:dyDescent="0.3">
      <c r="A203" s="43" t="s">
        <v>315</v>
      </c>
      <c r="B203" s="43" t="s">
        <v>316</v>
      </c>
      <c r="C203" s="43">
        <v>36</v>
      </c>
      <c r="D203" s="44">
        <v>37183800</v>
      </c>
      <c r="E203" s="43">
        <v>33</v>
      </c>
      <c r="F203" s="43">
        <v>0</v>
      </c>
      <c r="G203" s="44">
        <v>1962317.44</v>
      </c>
      <c r="H203" s="44">
        <v>1270874.48</v>
      </c>
      <c r="I203" s="44">
        <v>791419.78</v>
      </c>
      <c r="J203" s="44">
        <v>479454.7</v>
      </c>
      <c r="K203" s="45">
        <v>1.2893999999999999E-2</v>
      </c>
      <c r="L203" s="44">
        <v>10839807.02</v>
      </c>
      <c r="M203" s="44">
        <v>9656890.7400000002</v>
      </c>
      <c r="N203" s="45">
        <v>0.25969999999999999</v>
      </c>
      <c r="O203" s="45">
        <v>2.8708000000000001E-2</v>
      </c>
      <c r="P203" s="45">
        <v>5.2300000000000003E-4</v>
      </c>
    </row>
    <row r="204" spans="1:16" x14ac:dyDescent="0.3">
      <c r="A204" s="43" t="s">
        <v>317</v>
      </c>
      <c r="B204" s="43" t="s">
        <v>318</v>
      </c>
      <c r="C204" s="43">
        <v>29</v>
      </c>
      <c r="D204" s="44">
        <v>28236600</v>
      </c>
      <c r="E204" s="43">
        <v>0</v>
      </c>
      <c r="F204" s="43">
        <v>0</v>
      </c>
      <c r="G204" s="44">
        <v>0</v>
      </c>
      <c r="H204" s="44">
        <v>0</v>
      </c>
      <c r="I204" s="44">
        <v>0</v>
      </c>
      <c r="J204" s="44">
        <v>0</v>
      </c>
      <c r="K204" s="45">
        <v>0</v>
      </c>
      <c r="L204" s="44">
        <v>110053.64</v>
      </c>
      <c r="M204" s="44">
        <v>28126546.359999999</v>
      </c>
      <c r="N204" s="45">
        <v>0.99609999999999999</v>
      </c>
      <c r="O204" s="45">
        <v>2.2539E-2</v>
      </c>
      <c r="P204" s="45">
        <v>0</v>
      </c>
    </row>
    <row r="205" spans="1:16" x14ac:dyDescent="0.3">
      <c r="A205" s="43" t="s">
        <v>317</v>
      </c>
      <c r="B205" s="43" t="s">
        <v>318</v>
      </c>
      <c r="C205" s="43">
        <v>29</v>
      </c>
      <c r="D205" s="44">
        <v>28236600</v>
      </c>
      <c r="E205" s="43">
        <v>1</v>
      </c>
      <c r="F205" s="43">
        <v>0</v>
      </c>
      <c r="G205" s="44">
        <v>2495.54</v>
      </c>
      <c r="H205" s="44">
        <v>1818.97</v>
      </c>
      <c r="I205" s="44">
        <v>0</v>
      </c>
      <c r="J205" s="44">
        <v>1818.97</v>
      </c>
      <c r="K205" s="45">
        <v>6.3999999999999997E-5</v>
      </c>
      <c r="L205" s="44">
        <v>236918.36</v>
      </c>
      <c r="M205" s="44">
        <v>27658346.899999999</v>
      </c>
      <c r="N205" s="45">
        <v>0.97950000000000004</v>
      </c>
      <c r="O205" s="45">
        <v>1.6241999999999999E-2</v>
      </c>
      <c r="P205" s="45">
        <v>6.0000000000000002E-5</v>
      </c>
    </row>
    <row r="206" spans="1:16" x14ac:dyDescent="0.3">
      <c r="A206" s="43" t="s">
        <v>317</v>
      </c>
      <c r="B206" s="43" t="s">
        <v>318</v>
      </c>
      <c r="C206" s="43">
        <v>29</v>
      </c>
      <c r="D206" s="44">
        <v>28236600</v>
      </c>
      <c r="E206" s="43">
        <v>2</v>
      </c>
      <c r="F206" s="43">
        <v>0</v>
      </c>
      <c r="G206" s="44">
        <v>7243.3</v>
      </c>
      <c r="H206" s="44">
        <v>4825.75</v>
      </c>
      <c r="I206" s="44">
        <v>0</v>
      </c>
      <c r="J206" s="44">
        <v>4825.75</v>
      </c>
      <c r="K206" s="45">
        <v>1.7100000000000001E-4</v>
      </c>
      <c r="L206" s="44">
        <v>468960.08</v>
      </c>
      <c r="M206" s="44">
        <v>27082718.219999999</v>
      </c>
      <c r="N206" s="45">
        <v>0.95909999999999995</v>
      </c>
      <c r="O206" s="45">
        <v>1.8405999999999999E-2</v>
      </c>
      <c r="P206" s="45">
        <v>1.13E-4</v>
      </c>
    </row>
    <row r="207" spans="1:16" x14ac:dyDescent="0.3">
      <c r="A207" s="43" t="s">
        <v>317</v>
      </c>
      <c r="B207" s="43" t="s">
        <v>318</v>
      </c>
      <c r="C207" s="43">
        <v>29</v>
      </c>
      <c r="D207" s="44">
        <v>28236600</v>
      </c>
      <c r="E207" s="43">
        <v>3</v>
      </c>
      <c r="F207" s="43">
        <v>0</v>
      </c>
      <c r="G207" s="44">
        <v>14624.17</v>
      </c>
      <c r="H207" s="44">
        <v>9169.25</v>
      </c>
      <c r="I207" s="44">
        <v>0</v>
      </c>
      <c r="J207" s="44">
        <v>9169.25</v>
      </c>
      <c r="K207" s="45">
        <v>3.2499999999999999E-4</v>
      </c>
      <c r="L207" s="44">
        <v>631968.82999999996</v>
      </c>
      <c r="M207" s="44">
        <v>26573489.399999999</v>
      </c>
      <c r="N207" s="45">
        <v>0.94110000000000005</v>
      </c>
      <c r="O207" s="45">
        <v>2.1392000000000001E-2</v>
      </c>
      <c r="P207" s="45">
        <v>1.8100000000000001E-4</v>
      </c>
    </row>
    <row r="208" spans="1:16" x14ac:dyDescent="0.3">
      <c r="A208" s="43" t="s">
        <v>317</v>
      </c>
      <c r="B208" s="43" t="s">
        <v>318</v>
      </c>
      <c r="C208" s="43">
        <v>29</v>
      </c>
      <c r="D208" s="44">
        <v>28236600</v>
      </c>
      <c r="E208" s="43">
        <v>4</v>
      </c>
      <c r="F208" s="43">
        <v>0</v>
      </c>
      <c r="G208" s="44">
        <v>26279.79</v>
      </c>
      <c r="H208" s="44">
        <v>15892.77</v>
      </c>
      <c r="I208" s="44">
        <v>4242.46</v>
      </c>
      <c r="J208" s="44">
        <v>11650.31</v>
      </c>
      <c r="K208" s="45">
        <v>4.1300000000000001E-4</v>
      </c>
      <c r="L208" s="44">
        <v>859736.62</v>
      </c>
      <c r="M208" s="44">
        <v>25995226.780000001</v>
      </c>
      <c r="N208" s="45">
        <v>0.92059999999999997</v>
      </c>
      <c r="O208" s="45">
        <v>2.4721E-2</v>
      </c>
      <c r="P208" s="45">
        <v>1.5899999999999999E-4</v>
      </c>
    </row>
    <row r="209" spans="1:16" x14ac:dyDescent="0.3">
      <c r="A209" s="43" t="s">
        <v>317</v>
      </c>
      <c r="B209" s="43" t="s">
        <v>318</v>
      </c>
      <c r="C209" s="43">
        <v>29</v>
      </c>
      <c r="D209" s="44">
        <v>28236600</v>
      </c>
      <c r="E209" s="43">
        <v>5</v>
      </c>
      <c r="F209" s="43">
        <v>0</v>
      </c>
      <c r="G209" s="44">
        <v>39346.589999999997</v>
      </c>
      <c r="H209" s="44">
        <v>24087.07</v>
      </c>
      <c r="I209" s="44">
        <v>9491.58</v>
      </c>
      <c r="J209" s="44">
        <v>14595.49</v>
      </c>
      <c r="K209" s="45">
        <v>5.1699999999999999E-4</v>
      </c>
      <c r="L209" s="44">
        <v>1095457.9099999999</v>
      </c>
      <c r="M209" s="44">
        <v>25407599.5</v>
      </c>
      <c r="N209" s="45">
        <v>0.89980000000000004</v>
      </c>
      <c r="O209" s="45">
        <v>1.7427999999999999E-2</v>
      </c>
      <c r="P209" s="45">
        <v>1.5200000000000001E-4</v>
      </c>
    </row>
    <row r="210" spans="1:16" x14ac:dyDescent="0.3">
      <c r="A210" s="43" t="s">
        <v>317</v>
      </c>
      <c r="B210" s="43" t="s">
        <v>318</v>
      </c>
      <c r="C210" s="43">
        <v>29</v>
      </c>
      <c r="D210" s="44">
        <v>28236600</v>
      </c>
      <c r="E210" s="43">
        <v>6</v>
      </c>
      <c r="F210" s="43">
        <v>0</v>
      </c>
      <c r="G210" s="44">
        <v>55835.93</v>
      </c>
      <c r="H210" s="44">
        <v>35189.35</v>
      </c>
      <c r="I210" s="44">
        <v>15096.74</v>
      </c>
      <c r="J210" s="44">
        <v>20092.61</v>
      </c>
      <c r="K210" s="45">
        <v>7.1199999999999996E-4</v>
      </c>
      <c r="L210" s="44">
        <v>1258485.24</v>
      </c>
      <c r="M210" s="44">
        <v>24889243.629999999</v>
      </c>
      <c r="N210" s="45">
        <v>0.88149999999999995</v>
      </c>
      <c r="O210" s="45">
        <v>1.8811999999999999E-2</v>
      </c>
      <c r="P210" s="45">
        <v>1.9000000000000001E-4</v>
      </c>
    </row>
    <row r="211" spans="1:16" x14ac:dyDescent="0.3">
      <c r="A211" s="43" t="s">
        <v>317</v>
      </c>
      <c r="B211" s="43" t="s">
        <v>318</v>
      </c>
      <c r="C211" s="43">
        <v>29</v>
      </c>
      <c r="D211" s="44">
        <v>28236600</v>
      </c>
      <c r="E211" s="43">
        <v>7</v>
      </c>
      <c r="F211" s="43">
        <v>0</v>
      </c>
      <c r="G211" s="44">
        <v>78673.09</v>
      </c>
      <c r="H211" s="44">
        <v>49495.6</v>
      </c>
      <c r="I211" s="44">
        <v>26318.06</v>
      </c>
      <c r="J211" s="44">
        <v>23177.55</v>
      </c>
      <c r="K211" s="45">
        <v>8.2100000000000001E-4</v>
      </c>
      <c r="L211" s="44">
        <v>1400584.9</v>
      </c>
      <c r="M211" s="44">
        <v>24385467.609999999</v>
      </c>
      <c r="N211" s="45">
        <v>0.86360000000000003</v>
      </c>
      <c r="O211" s="45">
        <v>2.1149000000000001E-2</v>
      </c>
      <c r="P211" s="45">
        <v>1.4200000000000001E-4</v>
      </c>
    </row>
    <row r="212" spans="1:16" x14ac:dyDescent="0.3">
      <c r="A212" s="43" t="s">
        <v>317</v>
      </c>
      <c r="B212" s="43" t="s">
        <v>318</v>
      </c>
      <c r="C212" s="43">
        <v>29</v>
      </c>
      <c r="D212" s="44">
        <v>28236600</v>
      </c>
      <c r="E212" s="43">
        <v>8</v>
      </c>
      <c r="F212" s="43">
        <v>0</v>
      </c>
      <c r="G212" s="44">
        <v>105397.44</v>
      </c>
      <c r="H212" s="44">
        <v>66048.53</v>
      </c>
      <c r="I212" s="44">
        <v>35261.46</v>
      </c>
      <c r="J212" s="44">
        <v>30787.06</v>
      </c>
      <c r="K212" s="45">
        <v>1.09E-3</v>
      </c>
      <c r="L212" s="44">
        <v>1533217.05</v>
      </c>
      <c r="M212" s="44">
        <v>23887271.91</v>
      </c>
      <c r="N212" s="45">
        <v>0.84599999999999997</v>
      </c>
      <c r="O212" s="45">
        <v>1.9983999999999998E-2</v>
      </c>
      <c r="P212" s="45">
        <v>2.7599999999999999E-4</v>
      </c>
    </row>
    <row r="213" spans="1:16" x14ac:dyDescent="0.3">
      <c r="A213" s="43" t="s">
        <v>317</v>
      </c>
      <c r="B213" s="43" t="s">
        <v>318</v>
      </c>
      <c r="C213" s="43">
        <v>29</v>
      </c>
      <c r="D213" s="44">
        <v>28236600</v>
      </c>
      <c r="E213" s="43">
        <v>9</v>
      </c>
      <c r="F213" s="43">
        <v>0</v>
      </c>
      <c r="G213" s="44">
        <v>131122.60999999999</v>
      </c>
      <c r="H213" s="44">
        <v>84223.03</v>
      </c>
      <c r="I213" s="44">
        <v>43315.63</v>
      </c>
      <c r="J213" s="44">
        <v>40907.4</v>
      </c>
      <c r="K213" s="45">
        <v>1.449E-3</v>
      </c>
      <c r="L213" s="44">
        <v>1805189.54</v>
      </c>
      <c r="M213" s="44">
        <v>23250735.050000001</v>
      </c>
      <c r="N213" s="45">
        <v>0.82340000000000002</v>
      </c>
      <c r="O213" s="45">
        <v>1.9918999999999999E-2</v>
      </c>
      <c r="P213" s="45">
        <v>3.39E-4</v>
      </c>
    </row>
    <row r="214" spans="1:16" x14ac:dyDescent="0.3">
      <c r="A214" s="43" t="s">
        <v>317</v>
      </c>
      <c r="B214" s="43" t="s">
        <v>318</v>
      </c>
      <c r="C214" s="43">
        <v>29</v>
      </c>
      <c r="D214" s="44">
        <v>28236600</v>
      </c>
      <c r="E214" s="43">
        <v>10</v>
      </c>
      <c r="F214" s="43">
        <v>0</v>
      </c>
      <c r="G214" s="44">
        <v>165047.89000000001</v>
      </c>
      <c r="H214" s="44">
        <v>104784.75</v>
      </c>
      <c r="I214" s="44">
        <v>58808.91</v>
      </c>
      <c r="J214" s="44">
        <v>45975.839999999997</v>
      </c>
      <c r="K214" s="45">
        <v>1.6280000000000001E-3</v>
      </c>
      <c r="L214" s="44">
        <v>1975522.8</v>
      </c>
      <c r="M214" s="44">
        <v>22707637.309999999</v>
      </c>
      <c r="N214" s="45">
        <v>0.80420000000000003</v>
      </c>
      <c r="O214" s="45">
        <v>2.4643000000000002E-2</v>
      </c>
      <c r="P214" s="45">
        <v>1.4799999999999999E-4</v>
      </c>
    </row>
    <row r="215" spans="1:16" x14ac:dyDescent="0.3">
      <c r="A215" s="43" t="s">
        <v>317</v>
      </c>
      <c r="B215" s="43" t="s">
        <v>318</v>
      </c>
      <c r="C215" s="43">
        <v>29</v>
      </c>
      <c r="D215" s="44">
        <v>28236600</v>
      </c>
      <c r="E215" s="43">
        <v>11</v>
      </c>
      <c r="F215" s="43">
        <v>0</v>
      </c>
      <c r="G215" s="44">
        <v>187326.15</v>
      </c>
      <c r="H215" s="44">
        <v>118241.53</v>
      </c>
      <c r="I215" s="44">
        <v>66284.05</v>
      </c>
      <c r="J215" s="44">
        <v>51957.49</v>
      </c>
      <c r="K215" s="45">
        <v>1.8400000000000001E-3</v>
      </c>
      <c r="L215" s="44">
        <v>2246821.86</v>
      </c>
      <c r="M215" s="44">
        <v>22075220.789999999</v>
      </c>
      <c r="N215" s="45">
        <v>0.78180000000000005</v>
      </c>
      <c r="O215" s="45">
        <v>2.0580000000000001E-2</v>
      </c>
      <c r="P215" s="45">
        <v>2.9599999999999998E-4</v>
      </c>
    </row>
    <row r="216" spans="1:16" x14ac:dyDescent="0.3">
      <c r="A216" s="43" t="s">
        <v>317</v>
      </c>
      <c r="B216" s="43" t="s">
        <v>318</v>
      </c>
      <c r="C216" s="43">
        <v>29</v>
      </c>
      <c r="D216" s="44">
        <v>28236600</v>
      </c>
      <c r="E216" s="43">
        <v>12</v>
      </c>
      <c r="F216" s="43">
        <v>0</v>
      </c>
      <c r="G216" s="44">
        <v>226318.34</v>
      </c>
      <c r="H216" s="44">
        <v>141314.67000000001</v>
      </c>
      <c r="I216" s="44">
        <v>79775.899999999994</v>
      </c>
      <c r="J216" s="44">
        <v>61538.76</v>
      </c>
      <c r="K216" s="45">
        <v>2.1789999999999999E-3</v>
      </c>
      <c r="L216" s="44">
        <v>2411802.83</v>
      </c>
      <c r="M216" s="44">
        <v>21532408.43</v>
      </c>
      <c r="N216" s="45">
        <v>0.76259999999999994</v>
      </c>
      <c r="O216" s="45">
        <v>2.2709E-2</v>
      </c>
      <c r="P216" s="45">
        <v>5.4100000000000003E-4</v>
      </c>
    </row>
    <row r="217" spans="1:16" x14ac:dyDescent="0.3">
      <c r="A217" s="43" t="s">
        <v>317</v>
      </c>
      <c r="B217" s="43" t="s">
        <v>318</v>
      </c>
      <c r="C217" s="43">
        <v>29</v>
      </c>
      <c r="D217" s="44">
        <v>28236600</v>
      </c>
      <c r="E217" s="43">
        <v>13</v>
      </c>
      <c r="F217" s="43">
        <v>0</v>
      </c>
      <c r="G217" s="44">
        <v>270678.08</v>
      </c>
      <c r="H217" s="44">
        <v>166043.29</v>
      </c>
      <c r="I217" s="44">
        <v>101091.03</v>
      </c>
      <c r="J217" s="44">
        <v>64952.27</v>
      </c>
      <c r="K217" s="45">
        <v>2.3E-3</v>
      </c>
      <c r="L217" s="44">
        <v>2585195.0699999998</v>
      </c>
      <c r="M217" s="44">
        <v>20975817.25</v>
      </c>
      <c r="N217" s="45">
        <v>0.7429</v>
      </c>
      <c r="O217" s="45">
        <v>2.368E-2</v>
      </c>
      <c r="P217" s="45">
        <v>3.6299999999999999E-4</v>
      </c>
    </row>
    <row r="218" spans="1:16" x14ac:dyDescent="0.3">
      <c r="A218" s="43" t="s">
        <v>317</v>
      </c>
      <c r="B218" s="43" t="s">
        <v>318</v>
      </c>
      <c r="C218" s="43">
        <v>29</v>
      </c>
      <c r="D218" s="44">
        <v>28236600</v>
      </c>
      <c r="E218" s="43">
        <v>14</v>
      </c>
      <c r="F218" s="43">
        <v>0</v>
      </c>
      <c r="G218" s="44">
        <v>320960.18</v>
      </c>
      <c r="H218" s="44">
        <v>197557.29</v>
      </c>
      <c r="I218" s="44">
        <v>118680.6</v>
      </c>
      <c r="J218" s="44">
        <v>78876.679999999993</v>
      </c>
      <c r="K218" s="45">
        <v>2.7929999999999999E-3</v>
      </c>
      <c r="L218" s="44">
        <v>2835824.28</v>
      </c>
      <c r="M218" s="44">
        <v>20336066.75</v>
      </c>
      <c r="N218" s="45">
        <v>0.72019999999999995</v>
      </c>
      <c r="O218" s="45">
        <v>2.5869E-2</v>
      </c>
      <c r="P218" s="45">
        <v>4.0400000000000001E-4</v>
      </c>
    </row>
    <row r="219" spans="1:16" x14ac:dyDescent="0.3">
      <c r="A219" s="43" t="s">
        <v>317</v>
      </c>
      <c r="B219" s="43" t="s">
        <v>318</v>
      </c>
      <c r="C219" s="43">
        <v>29</v>
      </c>
      <c r="D219" s="44">
        <v>28236600</v>
      </c>
      <c r="E219" s="43">
        <v>15</v>
      </c>
      <c r="F219" s="43">
        <v>0</v>
      </c>
      <c r="G219" s="44">
        <v>362158.09</v>
      </c>
      <c r="H219" s="44">
        <v>227078.59</v>
      </c>
      <c r="I219" s="44">
        <v>133256.32999999999</v>
      </c>
      <c r="J219" s="44">
        <v>93822.26</v>
      </c>
      <c r="K219" s="45">
        <v>3.323E-3</v>
      </c>
      <c r="L219" s="44">
        <v>3038528.7</v>
      </c>
      <c r="M219" s="44">
        <v>19753325.210000001</v>
      </c>
      <c r="N219" s="45">
        <v>0.6996</v>
      </c>
      <c r="O219" s="45">
        <v>2.5776E-2</v>
      </c>
      <c r="P219" s="45">
        <v>3.88E-4</v>
      </c>
    </row>
    <row r="220" spans="1:16" x14ac:dyDescent="0.3">
      <c r="A220" s="43" t="s">
        <v>317</v>
      </c>
      <c r="B220" s="43" t="s">
        <v>318</v>
      </c>
      <c r="C220" s="43">
        <v>29</v>
      </c>
      <c r="D220" s="44">
        <v>28236600</v>
      </c>
      <c r="E220" s="43">
        <v>16</v>
      </c>
      <c r="F220" s="43">
        <v>0</v>
      </c>
      <c r="G220" s="44">
        <v>425627.9</v>
      </c>
      <c r="H220" s="44">
        <v>272230.51</v>
      </c>
      <c r="I220" s="44">
        <v>160340.19</v>
      </c>
      <c r="J220" s="44">
        <v>111890.33</v>
      </c>
      <c r="K220" s="45">
        <v>3.9630000000000004E-3</v>
      </c>
      <c r="L220" s="44">
        <v>3393122.97</v>
      </c>
      <c r="M220" s="44">
        <v>18996421.920000002</v>
      </c>
      <c r="N220" s="45">
        <v>0.67279999999999995</v>
      </c>
      <c r="O220" s="45">
        <v>3.022E-2</v>
      </c>
      <c r="P220" s="45">
        <v>5.5099999999999995E-4</v>
      </c>
    </row>
    <row r="221" spans="1:16" x14ac:dyDescent="0.3">
      <c r="A221" s="43" t="s">
        <v>317</v>
      </c>
      <c r="B221" s="43" t="s">
        <v>318</v>
      </c>
      <c r="C221" s="43">
        <v>29</v>
      </c>
      <c r="D221" s="44">
        <v>28236600</v>
      </c>
      <c r="E221" s="43">
        <v>17</v>
      </c>
      <c r="F221" s="43">
        <v>0</v>
      </c>
      <c r="G221" s="44">
        <v>490615.29</v>
      </c>
      <c r="H221" s="44">
        <v>311206.55</v>
      </c>
      <c r="I221" s="44">
        <v>190800.14</v>
      </c>
      <c r="J221" s="44">
        <v>120406.41</v>
      </c>
      <c r="K221" s="45">
        <v>4.2640000000000004E-3</v>
      </c>
      <c r="L221" s="44">
        <v>3735785.35</v>
      </c>
      <c r="M221" s="44">
        <v>18249932.960000001</v>
      </c>
      <c r="N221" s="45">
        <v>0.64629999999999999</v>
      </c>
      <c r="O221" s="45">
        <v>2.4936E-2</v>
      </c>
      <c r="P221" s="45">
        <v>6.0300000000000002E-4</v>
      </c>
    </row>
    <row r="222" spans="1:16" x14ac:dyDescent="0.3">
      <c r="A222" s="43" t="s">
        <v>317</v>
      </c>
      <c r="B222" s="43" t="s">
        <v>318</v>
      </c>
      <c r="C222" s="43">
        <v>29</v>
      </c>
      <c r="D222" s="44">
        <v>28236600</v>
      </c>
      <c r="E222" s="43">
        <v>18</v>
      </c>
      <c r="F222" s="43">
        <v>0</v>
      </c>
      <c r="G222" s="44">
        <v>559748.35</v>
      </c>
      <c r="H222" s="44">
        <v>350558.83</v>
      </c>
      <c r="I222" s="44">
        <v>216058.03</v>
      </c>
      <c r="J222" s="44">
        <v>134500.79999999999</v>
      </c>
      <c r="K222" s="45">
        <v>4.7629999999999999E-3</v>
      </c>
      <c r="L222" s="44">
        <v>3945420.34</v>
      </c>
      <c r="M222" s="44">
        <v>17632325.710000001</v>
      </c>
      <c r="N222" s="45">
        <v>0.62439999999999996</v>
      </c>
      <c r="O222" s="45">
        <v>2.9618999999999999E-2</v>
      </c>
      <c r="P222" s="45">
        <v>6.4999999999999997E-4</v>
      </c>
    </row>
    <row r="223" spans="1:16" x14ac:dyDescent="0.3">
      <c r="A223" s="43" t="s">
        <v>317</v>
      </c>
      <c r="B223" s="43" t="s">
        <v>318</v>
      </c>
      <c r="C223" s="43">
        <v>29</v>
      </c>
      <c r="D223" s="44">
        <v>28236600</v>
      </c>
      <c r="E223" s="43">
        <v>19</v>
      </c>
      <c r="F223" s="43">
        <v>0</v>
      </c>
      <c r="G223" s="44">
        <v>615535.13</v>
      </c>
      <c r="H223" s="44">
        <v>389743.71</v>
      </c>
      <c r="I223" s="44">
        <v>238629.74</v>
      </c>
      <c r="J223" s="44">
        <v>151113.98000000001</v>
      </c>
      <c r="K223" s="45">
        <v>5.352E-3</v>
      </c>
      <c r="L223" s="44">
        <v>4076555.63</v>
      </c>
      <c r="M223" s="44">
        <v>17106564.449999999</v>
      </c>
      <c r="N223" s="45">
        <v>0.60580000000000001</v>
      </c>
      <c r="O223" s="45">
        <v>2.9315000000000001E-2</v>
      </c>
      <c r="P223" s="45">
        <v>4.2200000000000001E-4</v>
      </c>
    </row>
    <row r="224" spans="1:16" x14ac:dyDescent="0.3">
      <c r="A224" s="43" t="s">
        <v>317</v>
      </c>
      <c r="B224" s="43" t="s">
        <v>318</v>
      </c>
      <c r="C224" s="43">
        <v>29</v>
      </c>
      <c r="D224" s="44">
        <v>28236600</v>
      </c>
      <c r="E224" s="43">
        <v>20</v>
      </c>
      <c r="F224" s="43">
        <v>0</v>
      </c>
      <c r="G224" s="44">
        <v>674624.17</v>
      </c>
      <c r="H224" s="44">
        <v>430982.8</v>
      </c>
      <c r="I224" s="44">
        <v>267400.92</v>
      </c>
      <c r="J224" s="44">
        <v>163581.89000000001</v>
      </c>
      <c r="K224" s="45">
        <v>5.7930000000000004E-3</v>
      </c>
      <c r="L224" s="44">
        <v>4471463.78</v>
      </c>
      <c r="M224" s="44">
        <v>16313728.050000001</v>
      </c>
      <c r="N224" s="45">
        <v>0.57779999999999998</v>
      </c>
      <c r="O224" s="45">
        <v>2.7772000000000002E-2</v>
      </c>
      <c r="P224" s="45">
        <v>2.9999999999999997E-4</v>
      </c>
    </row>
    <row r="225" spans="1:16" x14ac:dyDescent="0.3">
      <c r="A225" s="43" t="s">
        <v>317</v>
      </c>
      <c r="B225" s="43" t="s">
        <v>318</v>
      </c>
      <c r="C225" s="43">
        <v>29</v>
      </c>
      <c r="D225" s="44">
        <v>28236600</v>
      </c>
      <c r="E225" s="43">
        <v>21</v>
      </c>
      <c r="F225" s="43">
        <v>0</v>
      </c>
      <c r="G225" s="44">
        <v>754948.54</v>
      </c>
      <c r="H225" s="44">
        <v>479309.39</v>
      </c>
      <c r="I225" s="44">
        <v>300961.13</v>
      </c>
      <c r="J225" s="44">
        <v>178348.26</v>
      </c>
      <c r="K225" s="45">
        <v>6.3160000000000004E-3</v>
      </c>
      <c r="L225" s="44">
        <v>4769896.45</v>
      </c>
      <c r="M225" s="44">
        <v>15596131.810000001</v>
      </c>
      <c r="N225" s="45">
        <v>0.55230000000000001</v>
      </c>
      <c r="O225" s="45">
        <v>2.2164E-2</v>
      </c>
      <c r="P225" s="45">
        <v>7.7499999999999997E-4</v>
      </c>
    </row>
    <row r="226" spans="1:16" x14ac:dyDescent="0.3">
      <c r="A226" s="43" t="s">
        <v>317</v>
      </c>
      <c r="B226" s="43" t="s">
        <v>318</v>
      </c>
      <c r="C226" s="43">
        <v>29</v>
      </c>
      <c r="D226" s="44">
        <v>28236600</v>
      </c>
      <c r="E226" s="43">
        <v>22</v>
      </c>
      <c r="F226" s="43">
        <v>0</v>
      </c>
      <c r="G226" s="44">
        <v>832790.51</v>
      </c>
      <c r="H226" s="44">
        <v>528867.17000000004</v>
      </c>
      <c r="I226" s="44">
        <v>337892.2</v>
      </c>
      <c r="J226" s="44">
        <v>190974.97</v>
      </c>
      <c r="K226" s="45">
        <v>6.7629999999999999E-3</v>
      </c>
      <c r="L226" s="44">
        <v>5141886.59</v>
      </c>
      <c r="M226" s="44">
        <v>14807460.5</v>
      </c>
      <c r="N226" s="45">
        <v>0.52439999999999998</v>
      </c>
      <c r="O226" s="45">
        <v>2.2848E-2</v>
      </c>
      <c r="P226" s="45">
        <v>6.7500000000000004E-4</v>
      </c>
    </row>
    <row r="227" spans="1:16" x14ac:dyDescent="0.3">
      <c r="A227" s="43" t="s">
        <v>317</v>
      </c>
      <c r="B227" s="43" t="s">
        <v>318</v>
      </c>
      <c r="C227" s="43">
        <v>29</v>
      </c>
      <c r="D227" s="44">
        <v>28236600</v>
      </c>
      <c r="E227" s="43">
        <v>23</v>
      </c>
      <c r="F227" s="43">
        <v>0</v>
      </c>
      <c r="G227" s="44">
        <v>916197.03</v>
      </c>
      <c r="H227" s="44">
        <v>583475.07999999996</v>
      </c>
      <c r="I227" s="44">
        <v>378984.49</v>
      </c>
      <c r="J227" s="44">
        <v>204490.59</v>
      </c>
      <c r="K227" s="45">
        <v>7.2420000000000002E-3</v>
      </c>
      <c r="L227" s="44">
        <v>5338358.5</v>
      </c>
      <c r="M227" s="44">
        <v>14188742.869999999</v>
      </c>
      <c r="N227" s="45">
        <v>0.50249999999999995</v>
      </c>
      <c r="O227" s="45">
        <v>3.0627999999999999E-2</v>
      </c>
      <c r="P227" s="45">
        <v>7.3099999999999999E-4</v>
      </c>
    </row>
    <row r="228" spans="1:16" x14ac:dyDescent="0.3">
      <c r="A228" s="43" t="s">
        <v>317</v>
      </c>
      <c r="B228" s="43" t="s">
        <v>318</v>
      </c>
      <c r="C228" s="43">
        <v>29</v>
      </c>
      <c r="D228" s="44">
        <v>28236600</v>
      </c>
      <c r="E228" s="43">
        <v>24</v>
      </c>
      <c r="F228" s="43">
        <v>0</v>
      </c>
      <c r="G228" s="44">
        <v>986212.48</v>
      </c>
      <c r="H228" s="44">
        <v>628034.80000000005</v>
      </c>
      <c r="I228" s="44">
        <v>406716.69</v>
      </c>
      <c r="J228" s="44">
        <v>221318.11</v>
      </c>
      <c r="K228" s="45">
        <v>7.8379999999999995E-3</v>
      </c>
      <c r="L228" s="44">
        <v>5578186.8600000003</v>
      </c>
      <c r="M228" s="44">
        <v>13540059.859999999</v>
      </c>
      <c r="N228" s="45">
        <v>0.47949999999999998</v>
      </c>
      <c r="O228" s="45">
        <v>2.6258E-2</v>
      </c>
      <c r="P228" s="45">
        <v>7.0500000000000001E-4</v>
      </c>
    </row>
    <row r="229" spans="1:16" x14ac:dyDescent="0.3">
      <c r="A229" s="43" t="s">
        <v>317</v>
      </c>
      <c r="B229" s="43" t="s">
        <v>318</v>
      </c>
      <c r="C229" s="43">
        <v>29</v>
      </c>
      <c r="D229" s="44">
        <v>28236600</v>
      </c>
      <c r="E229" s="43">
        <v>25</v>
      </c>
      <c r="F229" s="43">
        <v>0</v>
      </c>
      <c r="G229" s="44">
        <v>1051885</v>
      </c>
      <c r="H229" s="44">
        <v>670608.91</v>
      </c>
      <c r="I229" s="44">
        <v>426681.18</v>
      </c>
      <c r="J229" s="44">
        <v>243927.74</v>
      </c>
      <c r="K229" s="45">
        <v>8.6390000000000008E-3</v>
      </c>
      <c r="L229" s="44">
        <v>5746969.9199999999</v>
      </c>
      <c r="M229" s="44">
        <v>12966765.08</v>
      </c>
      <c r="N229" s="45">
        <v>0.4592</v>
      </c>
      <c r="O229" s="45">
        <v>2.6259000000000001E-2</v>
      </c>
      <c r="P229" s="45">
        <v>8.34E-4</v>
      </c>
    </row>
    <row r="230" spans="1:16" x14ac:dyDescent="0.3">
      <c r="A230" s="43" t="s">
        <v>317</v>
      </c>
      <c r="B230" s="43" t="s">
        <v>318</v>
      </c>
      <c r="C230" s="43">
        <v>29</v>
      </c>
      <c r="D230" s="44">
        <v>28236600</v>
      </c>
      <c r="E230" s="43">
        <v>26</v>
      </c>
      <c r="F230" s="43">
        <v>0</v>
      </c>
      <c r="G230" s="44">
        <v>1107444.32</v>
      </c>
      <c r="H230" s="44">
        <v>707952.51</v>
      </c>
      <c r="I230" s="44">
        <v>445654.54</v>
      </c>
      <c r="J230" s="44">
        <v>262297.96999999997</v>
      </c>
      <c r="K230" s="45">
        <v>9.2890000000000004E-3</v>
      </c>
      <c r="L230" s="44">
        <v>6168854.0700000003</v>
      </c>
      <c r="M230" s="44">
        <v>12150482.41</v>
      </c>
      <c r="N230" s="45">
        <v>0.43030000000000002</v>
      </c>
      <c r="O230" s="45">
        <v>3.0062999999999999E-2</v>
      </c>
      <c r="P230" s="45">
        <v>5.8100000000000003E-4</v>
      </c>
    </row>
    <row r="231" spans="1:16" x14ac:dyDescent="0.3">
      <c r="A231" s="43" t="s">
        <v>317</v>
      </c>
      <c r="B231" s="43" t="s">
        <v>318</v>
      </c>
      <c r="C231" s="43">
        <v>29</v>
      </c>
      <c r="D231" s="44">
        <v>28236600</v>
      </c>
      <c r="E231" s="43">
        <v>27</v>
      </c>
      <c r="F231" s="43">
        <v>0</v>
      </c>
      <c r="G231" s="44">
        <v>1153838.1499999999</v>
      </c>
      <c r="H231" s="44">
        <v>741906.59</v>
      </c>
      <c r="I231" s="44">
        <v>468168.09</v>
      </c>
      <c r="J231" s="44">
        <v>273738.5</v>
      </c>
      <c r="K231" s="45">
        <v>9.6939999999999995E-3</v>
      </c>
      <c r="L231" s="44">
        <v>6407121.4500000002</v>
      </c>
      <c r="M231" s="44">
        <v>11526982</v>
      </c>
      <c r="N231" s="45">
        <v>0.40820000000000001</v>
      </c>
      <c r="O231" s="45">
        <v>3.0457000000000001E-2</v>
      </c>
      <c r="P231" s="45">
        <v>3.6299999999999999E-4</v>
      </c>
    </row>
    <row r="232" spans="1:16" x14ac:dyDescent="0.3">
      <c r="A232" s="43" t="s">
        <v>317</v>
      </c>
      <c r="B232" s="43" t="s">
        <v>318</v>
      </c>
      <c r="C232" s="43">
        <v>29</v>
      </c>
      <c r="D232" s="44">
        <v>28236600</v>
      </c>
      <c r="E232" s="43">
        <v>28</v>
      </c>
      <c r="F232" s="43">
        <v>0</v>
      </c>
      <c r="G232" s="44">
        <v>1225121.79</v>
      </c>
      <c r="H232" s="44">
        <v>781762.14</v>
      </c>
      <c r="I232" s="44">
        <v>492822.62</v>
      </c>
      <c r="J232" s="44">
        <v>288939.52000000002</v>
      </c>
      <c r="K232" s="45">
        <v>1.0233000000000001E-2</v>
      </c>
      <c r="L232" s="44">
        <v>6653757.1500000004</v>
      </c>
      <c r="M232" s="44">
        <v>10870223.470000001</v>
      </c>
      <c r="N232" s="45">
        <v>0.38500000000000001</v>
      </c>
      <c r="O232" s="45">
        <v>3.2582E-2</v>
      </c>
      <c r="P232" s="45">
        <v>8.9400000000000005E-4</v>
      </c>
    </row>
    <row r="233" spans="1:16" x14ac:dyDescent="0.3">
      <c r="A233" s="43" t="s">
        <v>317</v>
      </c>
      <c r="B233" s="43" t="s">
        <v>318</v>
      </c>
      <c r="C233" s="43">
        <v>29</v>
      </c>
      <c r="D233" s="44">
        <v>28236600</v>
      </c>
      <c r="E233" s="43">
        <v>29</v>
      </c>
      <c r="F233" s="43">
        <v>0</v>
      </c>
      <c r="G233" s="44">
        <v>1274295.02</v>
      </c>
      <c r="H233" s="44">
        <v>814089.21</v>
      </c>
      <c r="I233" s="44">
        <v>508283.68</v>
      </c>
      <c r="J233" s="44">
        <v>305805.53000000003</v>
      </c>
      <c r="K233" s="45">
        <v>1.0829999999999999E-2</v>
      </c>
      <c r="L233" s="44">
        <v>7047443.5499999998</v>
      </c>
      <c r="M233" s="44">
        <v>10088524.630000001</v>
      </c>
      <c r="N233" s="45">
        <v>0.35730000000000001</v>
      </c>
      <c r="O233" s="45">
        <v>2.6345E-2</v>
      </c>
      <c r="P233" s="45">
        <v>5.2599999999999999E-4</v>
      </c>
    </row>
    <row r="234" spans="1:16" x14ac:dyDescent="0.3">
      <c r="A234" s="43" t="s">
        <v>317</v>
      </c>
      <c r="B234" s="43" t="s">
        <v>318</v>
      </c>
      <c r="C234" s="43">
        <v>29</v>
      </c>
      <c r="D234" s="44">
        <v>28236600</v>
      </c>
      <c r="E234" s="43">
        <v>30</v>
      </c>
      <c r="F234" s="43">
        <v>0</v>
      </c>
      <c r="G234" s="44">
        <v>1330661.8400000001</v>
      </c>
      <c r="H234" s="44">
        <v>854810.91</v>
      </c>
      <c r="I234" s="44">
        <v>526659.86</v>
      </c>
      <c r="J234" s="44">
        <v>328151.03999999998</v>
      </c>
      <c r="K234" s="45">
        <v>1.1620999999999999E-2</v>
      </c>
      <c r="L234" s="44">
        <v>7212290.0700000003</v>
      </c>
      <c r="M234" s="44">
        <v>9528472.0899999999</v>
      </c>
      <c r="N234" s="45">
        <v>0.33750000000000002</v>
      </c>
      <c r="O234" s="45">
        <v>3.3592999999999998E-2</v>
      </c>
      <c r="P234" s="45">
        <v>6.6200000000000005E-4</v>
      </c>
    </row>
    <row r="235" spans="1:16" x14ac:dyDescent="0.3">
      <c r="A235" s="43" t="s">
        <v>319</v>
      </c>
      <c r="B235" s="43" t="s">
        <v>320</v>
      </c>
      <c r="C235" s="43">
        <v>31</v>
      </c>
      <c r="D235" s="44">
        <v>32924900</v>
      </c>
      <c r="E235" s="43">
        <v>0</v>
      </c>
      <c r="F235" s="43">
        <v>0</v>
      </c>
      <c r="G235" s="44">
        <v>0</v>
      </c>
      <c r="H235" s="44">
        <v>0</v>
      </c>
      <c r="I235" s="44">
        <v>0</v>
      </c>
      <c r="J235" s="44">
        <v>0</v>
      </c>
      <c r="K235" s="45">
        <v>0</v>
      </c>
      <c r="L235" s="44">
        <v>152743.97</v>
      </c>
      <c r="M235" s="44">
        <v>32772156.030000001</v>
      </c>
      <c r="N235" s="45">
        <v>0.99539999999999995</v>
      </c>
      <c r="O235" s="45">
        <v>1.8763999999999999E-2</v>
      </c>
      <c r="P235" s="45">
        <v>0</v>
      </c>
    </row>
    <row r="236" spans="1:16" x14ac:dyDescent="0.3">
      <c r="A236" s="43" t="s">
        <v>319</v>
      </c>
      <c r="B236" s="43" t="s">
        <v>320</v>
      </c>
      <c r="C236" s="43">
        <v>31</v>
      </c>
      <c r="D236" s="44">
        <v>32924900</v>
      </c>
      <c r="E236" s="43">
        <v>1</v>
      </c>
      <c r="F236" s="43">
        <v>0</v>
      </c>
      <c r="G236" s="44">
        <v>2767.06</v>
      </c>
      <c r="H236" s="44">
        <v>1942.8</v>
      </c>
      <c r="I236" s="44">
        <v>0</v>
      </c>
      <c r="J236" s="44">
        <v>1942.8</v>
      </c>
      <c r="K236" s="45">
        <v>5.8999999999999998E-5</v>
      </c>
      <c r="L236" s="44">
        <v>348874.86</v>
      </c>
      <c r="M236" s="44">
        <v>32178159.289999999</v>
      </c>
      <c r="N236" s="45">
        <v>0.97729999999999995</v>
      </c>
      <c r="O236" s="45">
        <v>1.7826999999999999E-2</v>
      </c>
      <c r="P236" s="45">
        <v>5.7000000000000003E-5</v>
      </c>
    </row>
    <row r="237" spans="1:16" x14ac:dyDescent="0.3">
      <c r="A237" s="43" t="s">
        <v>319</v>
      </c>
      <c r="B237" s="43" t="s">
        <v>320</v>
      </c>
      <c r="C237" s="43">
        <v>31</v>
      </c>
      <c r="D237" s="44">
        <v>32924900</v>
      </c>
      <c r="E237" s="43">
        <v>2</v>
      </c>
      <c r="F237" s="43">
        <v>0</v>
      </c>
      <c r="G237" s="44">
        <v>8494.7900000000009</v>
      </c>
      <c r="H237" s="44">
        <v>5733.75</v>
      </c>
      <c r="I237" s="44">
        <v>0</v>
      </c>
      <c r="J237" s="44">
        <v>5733.75</v>
      </c>
      <c r="K237" s="45">
        <v>1.74E-4</v>
      </c>
      <c r="L237" s="44">
        <v>514372.2</v>
      </c>
      <c r="M237" s="44">
        <v>31611835.41</v>
      </c>
      <c r="N237" s="45">
        <v>0.96009999999999995</v>
      </c>
      <c r="O237" s="45">
        <v>1.6184E-2</v>
      </c>
      <c r="P237" s="45">
        <v>1.0900000000000001E-4</v>
      </c>
    </row>
    <row r="238" spans="1:16" x14ac:dyDescent="0.3">
      <c r="A238" s="43" t="s">
        <v>319</v>
      </c>
      <c r="B238" s="43" t="s">
        <v>320</v>
      </c>
      <c r="C238" s="43">
        <v>31</v>
      </c>
      <c r="D238" s="44">
        <v>32924900</v>
      </c>
      <c r="E238" s="43">
        <v>3</v>
      </c>
      <c r="F238" s="43">
        <v>0</v>
      </c>
      <c r="G238" s="44">
        <v>15852.24</v>
      </c>
      <c r="H238" s="44">
        <v>11016.24</v>
      </c>
      <c r="I238" s="44">
        <v>0</v>
      </c>
      <c r="J238" s="44">
        <v>11016.24</v>
      </c>
      <c r="K238" s="45">
        <v>3.3500000000000001E-4</v>
      </c>
      <c r="L238" s="44">
        <v>613606.02</v>
      </c>
      <c r="M238" s="44">
        <v>31110145.34</v>
      </c>
      <c r="N238" s="45">
        <v>0.94489999999999996</v>
      </c>
      <c r="O238" s="45">
        <v>1.6216999999999999E-2</v>
      </c>
      <c r="P238" s="45">
        <v>1.26E-4</v>
      </c>
    </row>
    <row r="239" spans="1:16" x14ac:dyDescent="0.3">
      <c r="A239" s="43" t="s">
        <v>319</v>
      </c>
      <c r="B239" s="43" t="s">
        <v>320</v>
      </c>
      <c r="C239" s="43">
        <v>31</v>
      </c>
      <c r="D239" s="44">
        <v>32924900</v>
      </c>
      <c r="E239" s="43">
        <v>4</v>
      </c>
      <c r="F239" s="43">
        <v>0</v>
      </c>
      <c r="G239" s="44">
        <v>28566.48</v>
      </c>
      <c r="H239" s="44">
        <v>18222.82</v>
      </c>
      <c r="I239" s="44">
        <v>5284.31</v>
      </c>
      <c r="J239" s="44">
        <v>12938.52</v>
      </c>
      <c r="K239" s="45">
        <v>3.9300000000000001E-4</v>
      </c>
      <c r="L239" s="44">
        <v>834185.84</v>
      </c>
      <c r="M239" s="44">
        <v>30481752.48</v>
      </c>
      <c r="N239" s="45">
        <v>0.92579999999999996</v>
      </c>
      <c r="O239" s="45">
        <v>2.4398E-2</v>
      </c>
      <c r="P239" s="45">
        <v>1.02E-4</v>
      </c>
    </row>
    <row r="240" spans="1:16" x14ac:dyDescent="0.3">
      <c r="A240" s="43" t="s">
        <v>319</v>
      </c>
      <c r="B240" s="43" t="s">
        <v>320</v>
      </c>
      <c r="C240" s="43">
        <v>31</v>
      </c>
      <c r="D240" s="44">
        <v>32924900</v>
      </c>
      <c r="E240" s="43">
        <v>5</v>
      </c>
      <c r="F240" s="43">
        <v>0</v>
      </c>
      <c r="G240" s="44">
        <v>38182.199999999997</v>
      </c>
      <c r="H240" s="44">
        <v>23795</v>
      </c>
      <c r="I240" s="44">
        <v>9939.59</v>
      </c>
      <c r="J240" s="44">
        <v>13855.41</v>
      </c>
      <c r="K240" s="45">
        <v>4.2099999999999999E-4</v>
      </c>
      <c r="L240" s="44">
        <v>1117795.6599999999</v>
      </c>
      <c r="M240" s="44">
        <v>29793428.140000001</v>
      </c>
      <c r="N240" s="45">
        <v>0.90490000000000004</v>
      </c>
      <c r="O240" s="45">
        <v>2.5349E-2</v>
      </c>
      <c r="P240" s="45">
        <v>6.0999999999999999E-5</v>
      </c>
    </row>
    <row r="241" spans="1:16" x14ac:dyDescent="0.3">
      <c r="A241" s="43" t="s">
        <v>319</v>
      </c>
      <c r="B241" s="43" t="s">
        <v>320</v>
      </c>
      <c r="C241" s="43">
        <v>31</v>
      </c>
      <c r="D241" s="44">
        <v>32924900</v>
      </c>
      <c r="E241" s="43">
        <v>6</v>
      </c>
      <c r="F241" s="43">
        <v>0</v>
      </c>
      <c r="G241" s="44">
        <v>54246.26</v>
      </c>
      <c r="H241" s="44">
        <v>33324.949999999997</v>
      </c>
      <c r="I241" s="44">
        <v>17197.28</v>
      </c>
      <c r="J241" s="44">
        <v>16127.67</v>
      </c>
      <c r="K241" s="45">
        <v>4.8999999999999998E-4</v>
      </c>
      <c r="L241" s="44">
        <v>1236488.77</v>
      </c>
      <c r="M241" s="44">
        <v>29263572.170000002</v>
      </c>
      <c r="N241" s="45">
        <v>0.88880000000000003</v>
      </c>
      <c r="O241" s="45">
        <v>2.0275000000000001E-2</v>
      </c>
      <c r="P241" s="45">
        <v>6.2000000000000003E-5</v>
      </c>
    </row>
    <row r="242" spans="1:16" x14ac:dyDescent="0.3">
      <c r="A242" s="43" t="s">
        <v>319</v>
      </c>
      <c r="B242" s="43" t="s">
        <v>320</v>
      </c>
      <c r="C242" s="43">
        <v>31</v>
      </c>
      <c r="D242" s="44">
        <v>32924900</v>
      </c>
      <c r="E242" s="43">
        <v>7</v>
      </c>
      <c r="F242" s="43">
        <v>0</v>
      </c>
      <c r="G242" s="44">
        <v>80323.039999999994</v>
      </c>
      <c r="H242" s="44">
        <v>49134.05</v>
      </c>
      <c r="I242" s="44">
        <v>26144.92</v>
      </c>
      <c r="J242" s="44">
        <v>22989.13</v>
      </c>
      <c r="K242" s="45">
        <v>6.9800000000000005E-4</v>
      </c>
      <c r="L242" s="44">
        <v>1417388.93</v>
      </c>
      <c r="M242" s="44">
        <v>28661496.43</v>
      </c>
      <c r="N242" s="45">
        <v>0.87050000000000005</v>
      </c>
      <c r="O242" s="45">
        <v>2.3622000000000001E-2</v>
      </c>
      <c r="P242" s="45">
        <v>2.05E-4</v>
      </c>
    </row>
    <row r="243" spans="1:16" x14ac:dyDescent="0.3">
      <c r="A243" s="43" t="s">
        <v>319</v>
      </c>
      <c r="B243" s="43" t="s">
        <v>320</v>
      </c>
      <c r="C243" s="43">
        <v>31</v>
      </c>
      <c r="D243" s="44">
        <v>32924900</v>
      </c>
      <c r="E243" s="43">
        <v>8</v>
      </c>
      <c r="F243" s="43">
        <v>0</v>
      </c>
      <c r="G243" s="44">
        <v>105145.17</v>
      </c>
      <c r="H243" s="44">
        <v>63941.09</v>
      </c>
      <c r="I243" s="44">
        <v>37301.019999999997</v>
      </c>
      <c r="J243" s="44">
        <v>26640.07</v>
      </c>
      <c r="K243" s="45">
        <v>8.0900000000000004E-4</v>
      </c>
      <c r="L243" s="44">
        <v>1701542.83</v>
      </c>
      <c r="M243" s="44">
        <v>27957421.600000001</v>
      </c>
      <c r="N243" s="45">
        <v>0.84909999999999997</v>
      </c>
      <c r="O243" s="45">
        <v>2.3039E-2</v>
      </c>
      <c r="P243" s="45">
        <v>1.7699999999999999E-4</v>
      </c>
    </row>
    <row r="244" spans="1:16" x14ac:dyDescent="0.3">
      <c r="A244" s="43" t="s">
        <v>319</v>
      </c>
      <c r="B244" s="43" t="s">
        <v>320</v>
      </c>
      <c r="C244" s="43">
        <v>31</v>
      </c>
      <c r="D244" s="44">
        <v>32924900</v>
      </c>
      <c r="E244" s="43">
        <v>9</v>
      </c>
      <c r="F244" s="43">
        <v>0</v>
      </c>
      <c r="G244" s="44">
        <v>127913.83</v>
      </c>
      <c r="H244" s="44">
        <v>78634.97</v>
      </c>
      <c r="I244" s="44">
        <v>46134.09</v>
      </c>
      <c r="J244" s="44">
        <v>32500.880000000001</v>
      </c>
      <c r="K244" s="45">
        <v>9.8700000000000003E-4</v>
      </c>
      <c r="L244" s="44">
        <v>1923132.74</v>
      </c>
      <c r="M244" s="44">
        <v>27317964.239999998</v>
      </c>
      <c r="N244" s="45">
        <v>0.82969999999999999</v>
      </c>
      <c r="O244" s="45">
        <v>2.6422000000000001E-2</v>
      </c>
      <c r="P244" s="45">
        <v>2.3699999999999999E-4</v>
      </c>
    </row>
    <row r="245" spans="1:16" x14ac:dyDescent="0.3">
      <c r="A245" s="43" t="s">
        <v>319</v>
      </c>
      <c r="B245" s="43" t="s">
        <v>320</v>
      </c>
      <c r="C245" s="43">
        <v>31</v>
      </c>
      <c r="D245" s="44">
        <v>32924900</v>
      </c>
      <c r="E245" s="43">
        <v>10</v>
      </c>
      <c r="F245" s="43">
        <v>0</v>
      </c>
      <c r="G245" s="44">
        <v>159821.21</v>
      </c>
      <c r="H245" s="44">
        <v>97970.47</v>
      </c>
      <c r="I245" s="44">
        <v>56497.81</v>
      </c>
      <c r="J245" s="44">
        <v>41472.65</v>
      </c>
      <c r="K245" s="45">
        <v>1.2600000000000001E-3</v>
      </c>
      <c r="L245" s="44">
        <v>2157878.27</v>
      </c>
      <c r="M245" s="44">
        <v>26656212.52</v>
      </c>
      <c r="N245" s="45">
        <v>0.80959999999999999</v>
      </c>
      <c r="O245" s="45">
        <v>2.1906999999999999E-2</v>
      </c>
      <c r="P245" s="45">
        <v>3.0800000000000001E-4</v>
      </c>
    </row>
    <row r="246" spans="1:16" x14ac:dyDescent="0.3">
      <c r="A246" s="43" t="s">
        <v>319</v>
      </c>
      <c r="B246" s="43" t="s">
        <v>320</v>
      </c>
      <c r="C246" s="43">
        <v>31</v>
      </c>
      <c r="D246" s="44">
        <v>32924900</v>
      </c>
      <c r="E246" s="43">
        <v>11</v>
      </c>
      <c r="F246" s="43">
        <v>0</v>
      </c>
      <c r="G246" s="44">
        <v>195261.75</v>
      </c>
      <c r="H246" s="44">
        <v>124148.27</v>
      </c>
      <c r="I246" s="44">
        <v>73439.75</v>
      </c>
      <c r="J246" s="44">
        <v>50708.52</v>
      </c>
      <c r="K246" s="45">
        <v>1.5399999999999999E-3</v>
      </c>
      <c r="L246" s="44">
        <v>2384675.2400000002</v>
      </c>
      <c r="M246" s="44">
        <v>25998876.219999999</v>
      </c>
      <c r="N246" s="45">
        <v>0.78959999999999997</v>
      </c>
      <c r="O246" s="45">
        <v>2.3112000000000001E-2</v>
      </c>
      <c r="P246" s="45">
        <v>1.45E-4</v>
      </c>
    </row>
    <row r="247" spans="1:16" x14ac:dyDescent="0.3">
      <c r="A247" s="43" t="s">
        <v>319</v>
      </c>
      <c r="B247" s="43" t="s">
        <v>320</v>
      </c>
      <c r="C247" s="43">
        <v>31</v>
      </c>
      <c r="D247" s="44">
        <v>32924900</v>
      </c>
      <c r="E247" s="43">
        <v>12</v>
      </c>
      <c r="F247" s="43">
        <v>0</v>
      </c>
      <c r="G247" s="44">
        <v>225086.93</v>
      </c>
      <c r="H247" s="44">
        <v>144163.68</v>
      </c>
      <c r="I247" s="44">
        <v>87812.45</v>
      </c>
      <c r="J247" s="44">
        <v>56351.23</v>
      </c>
      <c r="K247" s="45">
        <v>1.712E-3</v>
      </c>
      <c r="L247" s="44">
        <v>2756274.61</v>
      </c>
      <c r="M247" s="44">
        <v>25202352.850000001</v>
      </c>
      <c r="N247" s="45">
        <v>0.76539999999999997</v>
      </c>
      <c r="O247" s="45">
        <v>2.7137000000000001E-2</v>
      </c>
      <c r="P247" s="45">
        <v>1.1E-4</v>
      </c>
    </row>
    <row r="248" spans="1:16" x14ac:dyDescent="0.3">
      <c r="A248" s="43" t="s">
        <v>319</v>
      </c>
      <c r="B248" s="43" t="s">
        <v>320</v>
      </c>
      <c r="C248" s="43">
        <v>31</v>
      </c>
      <c r="D248" s="44">
        <v>32924900</v>
      </c>
      <c r="E248" s="43">
        <v>13</v>
      </c>
      <c r="F248" s="43">
        <v>0</v>
      </c>
      <c r="G248" s="44">
        <v>270244.46000000002</v>
      </c>
      <c r="H248" s="44">
        <v>171591.04000000001</v>
      </c>
      <c r="I248" s="44">
        <v>104740.5</v>
      </c>
      <c r="J248" s="44">
        <v>66850.539999999994</v>
      </c>
      <c r="K248" s="45">
        <v>2.0300000000000001E-3</v>
      </c>
      <c r="L248" s="44">
        <v>2963722.33</v>
      </c>
      <c r="M248" s="44">
        <v>24554648.809999999</v>
      </c>
      <c r="N248" s="45">
        <v>0.74580000000000002</v>
      </c>
      <c r="O248" s="45">
        <v>2.1728000000000001E-2</v>
      </c>
      <c r="P248" s="45">
        <v>3.1799999999999998E-4</v>
      </c>
    </row>
    <row r="249" spans="1:16" x14ac:dyDescent="0.3">
      <c r="A249" s="43" t="s">
        <v>319</v>
      </c>
      <c r="B249" s="43" t="s">
        <v>320</v>
      </c>
      <c r="C249" s="43">
        <v>31</v>
      </c>
      <c r="D249" s="44">
        <v>32924900</v>
      </c>
      <c r="E249" s="43">
        <v>14</v>
      </c>
      <c r="F249" s="43">
        <v>0</v>
      </c>
      <c r="G249" s="44">
        <v>319703.98</v>
      </c>
      <c r="H249" s="44">
        <v>203206.8</v>
      </c>
      <c r="I249" s="44">
        <v>125389.19</v>
      </c>
      <c r="J249" s="44">
        <v>77817.61</v>
      </c>
      <c r="K249" s="45">
        <v>2.3630000000000001E-3</v>
      </c>
      <c r="L249" s="44">
        <v>3335410.61</v>
      </c>
      <c r="M249" s="44">
        <v>23738402.219999999</v>
      </c>
      <c r="N249" s="45">
        <v>0.72099999999999997</v>
      </c>
      <c r="O249" s="45">
        <v>2.4264000000000001E-2</v>
      </c>
      <c r="P249" s="45">
        <v>2.7500000000000002E-4</v>
      </c>
    </row>
    <row r="250" spans="1:16" x14ac:dyDescent="0.3">
      <c r="A250" s="43" t="s">
        <v>319</v>
      </c>
      <c r="B250" s="43" t="s">
        <v>320</v>
      </c>
      <c r="C250" s="43">
        <v>31</v>
      </c>
      <c r="D250" s="44">
        <v>32924900</v>
      </c>
      <c r="E250" s="43">
        <v>15</v>
      </c>
      <c r="F250" s="43">
        <v>0</v>
      </c>
      <c r="G250" s="44">
        <v>383666.57</v>
      </c>
      <c r="H250" s="44">
        <v>243366.27</v>
      </c>
      <c r="I250" s="44">
        <v>154213.76999999999</v>
      </c>
      <c r="J250" s="44">
        <v>89152.5</v>
      </c>
      <c r="K250" s="45">
        <v>2.7079999999999999E-3</v>
      </c>
      <c r="L250" s="44">
        <v>3543432.07</v>
      </c>
      <c r="M250" s="44">
        <v>23071319.359999999</v>
      </c>
      <c r="N250" s="45">
        <v>0.70069999999999999</v>
      </c>
      <c r="O250" s="45">
        <v>2.4198999999999998E-2</v>
      </c>
      <c r="P250" s="45">
        <v>3.7800000000000003E-4</v>
      </c>
    </row>
    <row r="251" spans="1:16" x14ac:dyDescent="0.3">
      <c r="A251" s="43" t="s">
        <v>319</v>
      </c>
      <c r="B251" s="43" t="s">
        <v>320</v>
      </c>
      <c r="C251" s="43">
        <v>31</v>
      </c>
      <c r="D251" s="44">
        <v>32924900</v>
      </c>
      <c r="E251" s="43">
        <v>16</v>
      </c>
      <c r="F251" s="43">
        <v>0</v>
      </c>
      <c r="G251" s="44">
        <v>424864.62</v>
      </c>
      <c r="H251" s="44">
        <v>269496.14</v>
      </c>
      <c r="I251" s="44">
        <v>166758.79999999999</v>
      </c>
      <c r="J251" s="44">
        <v>102737.33</v>
      </c>
      <c r="K251" s="45">
        <v>3.1199999999999999E-3</v>
      </c>
      <c r="L251" s="44">
        <v>3936921.86</v>
      </c>
      <c r="M251" s="44">
        <v>22241532.719999999</v>
      </c>
      <c r="N251" s="45">
        <v>0.67549999999999999</v>
      </c>
      <c r="O251" s="45">
        <v>2.3879999999999998E-2</v>
      </c>
      <c r="P251" s="45">
        <v>3.8400000000000001E-4</v>
      </c>
    </row>
    <row r="252" spans="1:16" x14ac:dyDescent="0.3">
      <c r="A252" s="43" t="s">
        <v>319</v>
      </c>
      <c r="B252" s="43" t="s">
        <v>320</v>
      </c>
      <c r="C252" s="43">
        <v>31</v>
      </c>
      <c r="D252" s="44">
        <v>32924900</v>
      </c>
      <c r="E252" s="43">
        <v>17</v>
      </c>
      <c r="F252" s="43">
        <v>0</v>
      </c>
      <c r="G252" s="44">
        <v>484567.22</v>
      </c>
      <c r="H252" s="44">
        <v>307958.75</v>
      </c>
      <c r="I252" s="44">
        <v>185723.54</v>
      </c>
      <c r="J252" s="44">
        <v>122235.22</v>
      </c>
      <c r="K252" s="45">
        <v>3.7130000000000002E-3</v>
      </c>
      <c r="L252" s="44">
        <v>4176148.33</v>
      </c>
      <c r="M252" s="44">
        <v>21547504.859999999</v>
      </c>
      <c r="N252" s="45">
        <v>0.65439999999999998</v>
      </c>
      <c r="O252" s="45">
        <v>2.2744E-2</v>
      </c>
      <c r="P252" s="45">
        <v>7.0299999999999996E-4</v>
      </c>
    </row>
    <row r="253" spans="1:16" x14ac:dyDescent="0.3">
      <c r="A253" s="43" t="s">
        <v>319</v>
      </c>
      <c r="B253" s="43" t="s">
        <v>320</v>
      </c>
      <c r="C253" s="43">
        <v>31</v>
      </c>
      <c r="D253" s="44">
        <v>32924900</v>
      </c>
      <c r="E253" s="43">
        <v>18</v>
      </c>
      <c r="F253" s="43">
        <v>0</v>
      </c>
      <c r="G253" s="44">
        <v>533008.76</v>
      </c>
      <c r="H253" s="44">
        <v>335052.21999999997</v>
      </c>
      <c r="I253" s="44">
        <v>207897.81</v>
      </c>
      <c r="J253" s="44">
        <v>127154.41</v>
      </c>
      <c r="K253" s="45">
        <v>3.862E-3</v>
      </c>
      <c r="L253" s="44">
        <v>4517995.05</v>
      </c>
      <c r="M253" s="44">
        <v>20762117.780000001</v>
      </c>
      <c r="N253" s="45">
        <v>0.63060000000000005</v>
      </c>
      <c r="O253" s="45">
        <v>2.9510999999999999E-2</v>
      </c>
      <c r="P253" s="45">
        <v>3.5300000000000002E-4</v>
      </c>
    </row>
    <row r="254" spans="1:16" x14ac:dyDescent="0.3">
      <c r="A254" s="43" t="s">
        <v>319</v>
      </c>
      <c r="B254" s="43" t="s">
        <v>320</v>
      </c>
      <c r="C254" s="43">
        <v>31</v>
      </c>
      <c r="D254" s="44">
        <v>32924900</v>
      </c>
      <c r="E254" s="43">
        <v>19</v>
      </c>
      <c r="F254" s="43">
        <v>0</v>
      </c>
      <c r="G254" s="44">
        <v>608353.59</v>
      </c>
      <c r="H254" s="44">
        <v>380869.48</v>
      </c>
      <c r="I254" s="44">
        <v>238129.78</v>
      </c>
      <c r="J254" s="44">
        <v>142739.70000000001</v>
      </c>
      <c r="K254" s="45">
        <v>4.3350000000000003E-3</v>
      </c>
      <c r="L254" s="44">
        <v>4743579.95</v>
      </c>
      <c r="M254" s="44">
        <v>20066089.260000002</v>
      </c>
      <c r="N254" s="45">
        <v>0.60950000000000004</v>
      </c>
      <c r="O254" s="45">
        <v>2.3966999999999999E-2</v>
      </c>
      <c r="P254" s="45">
        <v>4.5199999999999998E-4</v>
      </c>
    </row>
    <row r="255" spans="1:16" x14ac:dyDescent="0.3">
      <c r="A255" s="43" t="s">
        <v>319</v>
      </c>
      <c r="B255" s="43" t="s">
        <v>320</v>
      </c>
      <c r="C255" s="43">
        <v>31</v>
      </c>
      <c r="D255" s="44">
        <v>32924900</v>
      </c>
      <c r="E255" s="43">
        <v>20</v>
      </c>
      <c r="F255" s="43">
        <v>0</v>
      </c>
      <c r="G255" s="44">
        <v>709000.43</v>
      </c>
      <c r="H255" s="44">
        <v>455425.26</v>
      </c>
      <c r="I255" s="44">
        <v>276831.84000000003</v>
      </c>
      <c r="J255" s="44">
        <v>178593.42</v>
      </c>
      <c r="K255" s="45">
        <v>5.424E-3</v>
      </c>
      <c r="L255" s="44">
        <v>4974836.42</v>
      </c>
      <c r="M255" s="44">
        <v>19339087.149999999</v>
      </c>
      <c r="N255" s="45">
        <v>0.58740000000000003</v>
      </c>
      <c r="O255" s="45">
        <v>3.0804999999999999E-2</v>
      </c>
      <c r="P255" s="45">
        <v>1.0349999999999999E-3</v>
      </c>
    </row>
    <row r="256" spans="1:16" x14ac:dyDescent="0.3">
      <c r="A256" s="43" t="s">
        <v>319</v>
      </c>
      <c r="B256" s="43" t="s">
        <v>320</v>
      </c>
      <c r="C256" s="43">
        <v>31</v>
      </c>
      <c r="D256" s="44">
        <v>32924900</v>
      </c>
      <c r="E256" s="43">
        <v>21</v>
      </c>
      <c r="F256" s="43">
        <v>0</v>
      </c>
      <c r="G256" s="44">
        <v>773792.72</v>
      </c>
      <c r="H256" s="44">
        <v>499757.53</v>
      </c>
      <c r="I256" s="44">
        <v>304450.18</v>
      </c>
      <c r="J256" s="44">
        <v>195307.35</v>
      </c>
      <c r="K256" s="45">
        <v>5.9319999999999998E-3</v>
      </c>
      <c r="L256" s="44">
        <v>5421877.1200000001</v>
      </c>
      <c r="M256" s="44">
        <v>18432155.359999999</v>
      </c>
      <c r="N256" s="45">
        <v>0.55979999999999996</v>
      </c>
      <c r="O256" s="45">
        <v>2.2134999999999998E-2</v>
      </c>
      <c r="P256" s="45">
        <v>6.2100000000000002E-4</v>
      </c>
    </row>
    <row r="257" spans="1:16" x14ac:dyDescent="0.3">
      <c r="A257" s="43" t="s">
        <v>319</v>
      </c>
      <c r="B257" s="43" t="s">
        <v>320</v>
      </c>
      <c r="C257" s="43">
        <v>31</v>
      </c>
      <c r="D257" s="44">
        <v>32924900</v>
      </c>
      <c r="E257" s="43">
        <v>22</v>
      </c>
      <c r="F257" s="43">
        <v>0</v>
      </c>
      <c r="G257" s="44">
        <v>824717.25</v>
      </c>
      <c r="H257" s="44">
        <v>535258.16</v>
      </c>
      <c r="I257" s="44">
        <v>327232.40999999997</v>
      </c>
      <c r="J257" s="44">
        <v>208025.75</v>
      </c>
      <c r="K257" s="45">
        <v>6.3179999999999998E-3</v>
      </c>
      <c r="L257" s="44">
        <v>5603771.6399999997</v>
      </c>
      <c r="M257" s="44">
        <v>17804237.52</v>
      </c>
      <c r="N257" s="45">
        <v>0.54079999999999995</v>
      </c>
      <c r="O257" s="45">
        <v>3.0483E-2</v>
      </c>
      <c r="P257" s="45">
        <v>3.4000000000000002E-4</v>
      </c>
    </row>
    <row r="258" spans="1:16" x14ac:dyDescent="0.3">
      <c r="A258" s="43" t="s">
        <v>319</v>
      </c>
      <c r="B258" s="43" t="s">
        <v>320</v>
      </c>
      <c r="C258" s="43">
        <v>31</v>
      </c>
      <c r="D258" s="44">
        <v>32924900</v>
      </c>
      <c r="E258" s="43">
        <v>23</v>
      </c>
      <c r="F258" s="43">
        <v>0</v>
      </c>
      <c r="G258" s="44">
        <v>898751.04</v>
      </c>
      <c r="H258" s="44">
        <v>584829.03</v>
      </c>
      <c r="I258" s="44">
        <v>350607.31</v>
      </c>
      <c r="J258" s="44">
        <v>234221.72</v>
      </c>
      <c r="K258" s="45">
        <v>7.1139999999999997E-3</v>
      </c>
      <c r="L258" s="44">
        <v>5990482.4000000004</v>
      </c>
      <c r="M258" s="44">
        <v>16948394.149999999</v>
      </c>
      <c r="N258" s="45">
        <v>0.51480000000000004</v>
      </c>
      <c r="O258" s="45">
        <v>2.8344000000000001E-2</v>
      </c>
      <c r="P258" s="45">
        <v>8.5800000000000004E-4</v>
      </c>
    </row>
    <row r="259" spans="1:16" x14ac:dyDescent="0.3">
      <c r="A259" s="43" t="s">
        <v>319</v>
      </c>
      <c r="B259" s="43" t="s">
        <v>320</v>
      </c>
      <c r="C259" s="43">
        <v>31</v>
      </c>
      <c r="D259" s="44">
        <v>32924900</v>
      </c>
      <c r="E259" s="43">
        <v>24</v>
      </c>
      <c r="F259" s="43">
        <v>0</v>
      </c>
      <c r="G259" s="44">
        <v>1005447.3</v>
      </c>
      <c r="H259" s="44">
        <v>654232.43000000005</v>
      </c>
      <c r="I259" s="44">
        <v>384788.58</v>
      </c>
      <c r="J259" s="44">
        <v>269443.86</v>
      </c>
      <c r="K259" s="45">
        <v>8.1840000000000003E-3</v>
      </c>
      <c r="L259" s="44">
        <v>6446162.2199999997</v>
      </c>
      <c r="M259" s="44">
        <v>15990919.289999999</v>
      </c>
      <c r="N259" s="45">
        <v>0.48570000000000002</v>
      </c>
      <c r="O259" s="45">
        <v>3.0488999999999999E-2</v>
      </c>
      <c r="P259" s="45">
        <v>1.034E-3</v>
      </c>
    </row>
    <row r="260" spans="1:16" x14ac:dyDescent="0.3">
      <c r="A260" s="43" t="s">
        <v>319</v>
      </c>
      <c r="B260" s="43" t="s">
        <v>320</v>
      </c>
      <c r="C260" s="43">
        <v>31</v>
      </c>
      <c r="D260" s="44">
        <v>32924900</v>
      </c>
      <c r="E260" s="43">
        <v>25</v>
      </c>
      <c r="F260" s="43">
        <v>0</v>
      </c>
      <c r="G260" s="44">
        <v>1084690.6599999999</v>
      </c>
      <c r="H260" s="44">
        <v>704552.77</v>
      </c>
      <c r="I260" s="44">
        <v>420133.75</v>
      </c>
      <c r="J260" s="44">
        <v>284419.02</v>
      </c>
      <c r="K260" s="45">
        <v>8.6379999999999998E-3</v>
      </c>
      <c r="L260" s="44">
        <v>6767343.9500000002</v>
      </c>
      <c r="M260" s="44">
        <v>15195395.380000001</v>
      </c>
      <c r="N260" s="45">
        <v>0.46150000000000002</v>
      </c>
      <c r="O260" s="45">
        <v>2.4263E-2</v>
      </c>
      <c r="P260" s="45">
        <v>5.5999999999999995E-4</v>
      </c>
    </row>
    <row r="261" spans="1:16" x14ac:dyDescent="0.3">
      <c r="A261" s="43" t="s">
        <v>319</v>
      </c>
      <c r="B261" s="43" t="s">
        <v>320</v>
      </c>
      <c r="C261" s="43">
        <v>31</v>
      </c>
      <c r="D261" s="44">
        <v>32924900</v>
      </c>
      <c r="E261" s="43">
        <v>26</v>
      </c>
      <c r="F261" s="43">
        <v>0</v>
      </c>
      <c r="G261" s="44">
        <v>1163864.71</v>
      </c>
      <c r="H261" s="44">
        <v>757338.9</v>
      </c>
      <c r="I261" s="44">
        <v>448330.23</v>
      </c>
      <c r="J261" s="44">
        <v>309008.68</v>
      </c>
      <c r="K261" s="45">
        <v>9.3849999999999992E-3</v>
      </c>
      <c r="L261" s="44">
        <v>7089289.7400000002</v>
      </c>
      <c r="M261" s="44">
        <v>14399176.75</v>
      </c>
      <c r="N261" s="45">
        <v>0.43730000000000002</v>
      </c>
      <c r="O261" s="45">
        <v>2.7666E-2</v>
      </c>
      <c r="P261" s="45">
        <v>7.7899999999999996E-4</v>
      </c>
    </row>
    <row r="262" spans="1:16" x14ac:dyDescent="0.3">
      <c r="A262" s="43" t="s">
        <v>319</v>
      </c>
      <c r="B262" s="43" t="s">
        <v>320</v>
      </c>
      <c r="C262" s="43">
        <v>31</v>
      </c>
      <c r="D262" s="44">
        <v>32924900</v>
      </c>
      <c r="E262" s="43">
        <v>27</v>
      </c>
      <c r="F262" s="43">
        <v>0</v>
      </c>
      <c r="G262" s="44">
        <v>1239474.76</v>
      </c>
      <c r="H262" s="44">
        <v>804562.88</v>
      </c>
      <c r="I262" s="44">
        <v>481722.2</v>
      </c>
      <c r="J262" s="44">
        <v>322840.69</v>
      </c>
      <c r="K262" s="45">
        <v>9.8049999999999995E-3</v>
      </c>
      <c r="L262" s="44">
        <v>7263868.1299999999</v>
      </c>
      <c r="M262" s="44">
        <v>13753889.51</v>
      </c>
      <c r="N262" s="45">
        <v>0.41770000000000002</v>
      </c>
      <c r="O262" s="45">
        <v>2.5332E-2</v>
      </c>
      <c r="P262" s="45">
        <v>4.3399999999999998E-4</v>
      </c>
    </row>
    <row r="263" spans="1:16" x14ac:dyDescent="0.3">
      <c r="A263" s="43" t="s">
        <v>321</v>
      </c>
      <c r="B263" s="43" t="s">
        <v>322</v>
      </c>
      <c r="C263" s="43">
        <v>44</v>
      </c>
      <c r="D263" s="44">
        <v>51169100</v>
      </c>
      <c r="E263" s="43">
        <v>0</v>
      </c>
      <c r="F263" s="43">
        <v>0</v>
      </c>
      <c r="G263" s="44">
        <v>0</v>
      </c>
      <c r="H263" s="44">
        <v>0</v>
      </c>
      <c r="I263" s="44">
        <v>0</v>
      </c>
      <c r="J263" s="44">
        <v>0</v>
      </c>
      <c r="K263" s="45">
        <v>0</v>
      </c>
      <c r="L263" s="44">
        <v>132214.78</v>
      </c>
      <c r="M263" s="44">
        <v>51036885.219999999</v>
      </c>
      <c r="N263" s="45">
        <v>0.99739999999999995</v>
      </c>
      <c r="O263" s="45">
        <v>1.5678000000000001E-2</v>
      </c>
      <c r="P263" s="45">
        <v>0</v>
      </c>
    </row>
    <row r="264" spans="1:16" x14ac:dyDescent="0.3">
      <c r="A264" s="43" t="s">
        <v>321</v>
      </c>
      <c r="B264" s="43" t="s">
        <v>322</v>
      </c>
      <c r="C264" s="43">
        <v>44</v>
      </c>
      <c r="D264" s="44">
        <v>51169100</v>
      </c>
      <c r="E264" s="43">
        <v>1</v>
      </c>
      <c r="F264" s="43">
        <v>0</v>
      </c>
      <c r="G264" s="44">
        <v>4779.32</v>
      </c>
      <c r="H264" s="44">
        <v>2801.14</v>
      </c>
      <c r="I264" s="44">
        <v>0</v>
      </c>
      <c r="J264" s="44">
        <v>2801.14</v>
      </c>
      <c r="K264" s="45">
        <v>5.5000000000000002E-5</v>
      </c>
      <c r="L264" s="44">
        <v>268438.71999999997</v>
      </c>
      <c r="M264" s="44">
        <v>50281852.759999998</v>
      </c>
      <c r="N264" s="45">
        <v>0.98270000000000002</v>
      </c>
      <c r="O264" s="45">
        <v>2.2377000000000001E-2</v>
      </c>
      <c r="P264" s="45">
        <v>6.0999999999999999E-5</v>
      </c>
    </row>
    <row r="265" spans="1:16" x14ac:dyDescent="0.3">
      <c r="A265" s="43" t="s">
        <v>321</v>
      </c>
      <c r="B265" s="43" t="s">
        <v>322</v>
      </c>
      <c r="C265" s="43">
        <v>44</v>
      </c>
      <c r="D265" s="44">
        <v>51169100</v>
      </c>
      <c r="E265" s="43">
        <v>2</v>
      </c>
      <c r="F265" s="43">
        <v>0</v>
      </c>
      <c r="G265" s="44">
        <v>15396.58</v>
      </c>
      <c r="H265" s="44">
        <v>10420.459999999999</v>
      </c>
      <c r="I265" s="44">
        <v>0</v>
      </c>
      <c r="J265" s="44">
        <v>10420.459999999999</v>
      </c>
      <c r="K265" s="45">
        <v>2.04E-4</v>
      </c>
      <c r="L265" s="44">
        <v>500904.89</v>
      </c>
      <c r="M265" s="44">
        <v>49424740.130000003</v>
      </c>
      <c r="N265" s="45">
        <v>0.96589999999999998</v>
      </c>
      <c r="O265" s="45">
        <v>2.2471000000000001E-2</v>
      </c>
      <c r="P265" s="45">
        <v>1.3999999999999999E-4</v>
      </c>
    </row>
    <row r="266" spans="1:16" x14ac:dyDescent="0.3">
      <c r="A266" s="43" t="s">
        <v>321</v>
      </c>
      <c r="B266" s="43" t="s">
        <v>322</v>
      </c>
      <c r="C266" s="43">
        <v>44</v>
      </c>
      <c r="D266" s="44">
        <v>51169100</v>
      </c>
      <c r="E266" s="43">
        <v>3</v>
      </c>
      <c r="F266" s="43">
        <v>0</v>
      </c>
      <c r="G266" s="44">
        <v>27592.71</v>
      </c>
      <c r="H266" s="44">
        <v>17261.990000000002</v>
      </c>
      <c r="I266" s="44">
        <v>0</v>
      </c>
      <c r="J266" s="44">
        <v>17261.990000000002</v>
      </c>
      <c r="K266" s="45">
        <v>3.3700000000000001E-4</v>
      </c>
      <c r="L266" s="44">
        <v>670430.71999999997</v>
      </c>
      <c r="M266" s="44">
        <v>48628988.969999999</v>
      </c>
      <c r="N266" s="45">
        <v>0.95040000000000002</v>
      </c>
      <c r="O266" s="45">
        <v>1.6671999999999999E-2</v>
      </c>
      <c r="P266" s="45">
        <v>1.73E-4</v>
      </c>
    </row>
    <row r="267" spans="1:16" x14ac:dyDescent="0.3">
      <c r="A267" s="43" t="s">
        <v>321</v>
      </c>
      <c r="B267" s="43" t="s">
        <v>322</v>
      </c>
      <c r="C267" s="43">
        <v>44</v>
      </c>
      <c r="D267" s="44">
        <v>51169100</v>
      </c>
      <c r="E267" s="43">
        <v>4</v>
      </c>
      <c r="F267" s="43">
        <v>0</v>
      </c>
      <c r="G267" s="44">
        <v>44975.89</v>
      </c>
      <c r="H267" s="44">
        <v>29839.119999999999</v>
      </c>
      <c r="I267" s="44">
        <v>6286.89</v>
      </c>
      <c r="J267" s="44">
        <v>23552.22</v>
      </c>
      <c r="K267" s="45">
        <v>4.6000000000000001E-4</v>
      </c>
      <c r="L267" s="44">
        <v>923261.17</v>
      </c>
      <c r="M267" s="44">
        <v>47744746.140000001</v>
      </c>
      <c r="N267" s="45">
        <v>0.93310000000000004</v>
      </c>
      <c r="O267" s="45">
        <v>1.8464999999999999E-2</v>
      </c>
      <c r="P267" s="45">
        <v>1.0399999999999999E-4</v>
      </c>
    </row>
    <row r="268" spans="1:16" x14ac:dyDescent="0.3">
      <c r="A268" s="43" t="s">
        <v>321</v>
      </c>
      <c r="B268" s="43" t="s">
        <v>322</v>
      </c>
      <c r="C268" s="43">
        <v>44</v>
      </c>
      <c r="D268" s="44">
        <v>51169100</v>
      </c>
      <c r="E268" s="43">
        <v>5</v>
      </c>
      <c r="F268" s="43">
        <v>0</v>
      </c>
      <c r="G268" s="44">
        <v>61055.21</v>
      </c>
      <c r="H268" s="44">
        <v>39522.57</v>
      </c>
      <c r="I268" s="44">
        <v>13492.52</v>
      </c>
      <c r="J268" s="44">
        <v>26030.05</v>
      </c>
      <c r="K268" s="45">
        <v>5.0900000000000001E-4</v>
      </c>
      <c r="L268" s="44">
        <v>1197467.6499999999</v>
      </c>
      <c r="M268" s="44">
        <v>46840431.140000001</v>
      </c>
      <c r="N268" s="45">
        <v>0.91539999999999999</v>
      </c>
      <c r="O268" s="45">
        <v>1.9658999999999999E-2</v>
      </c>
      <c r="P268" s="45">
        <v>5.1E-5</v>
      </c>
    </row>
    <row r="269" spans="1:16" x14ac:dyDescent="0.3">
      <c r="A269" s="43" t="s">
        <v>321</v>
      </c>
      <c r="B269" s="43" t="s">
        <v>322</v>
      </c>
      <c r="C269" s="43">
        <v>44</v>
      </c>
      <c r="D269" s="44">
        <v>51169100</v>
      </c>
      <c r="E269" s="43">
        <v>6</v>
      </c>
      <c r="F269" s="43">
        <v>0</v>
      </c>
      <c r="G269" s="44">
        <v>80932.39</v>
      </c>
      <c r="H269" s="44">
        <v>50521.36</v>
      </c>
      <c r="I269" s="44">
        <v>21863.62</v>
      </c>
      <c r="J269" s="44">
        <v>28657.73</v>
      </c>
      <c r="K269" s="45">
        <v>5.5999999999999995E-4</v>
      </c>
      <c r="L269" s="44">
        <v>1463205.64</v>
      </c>
      <c r="M269" s="44">
        <v>45940786.770000003</v>
      </c>
      <c r="N269" s="45">
        <v>0.89780000000000004</v>
      </c>
      <c r="O269" s="45">
        <v>2.5971999999999999E-2</v>
      </c>
      <c r="P269" s="45">
        <v>1.18E-4</v>
      </c>
    </row>
    <row r="270" spans="1:16" x14ac:dyDescent="0.3">
      <c r="A270" s="43" t="s">
        <v>321</v>
      </c>
      <c r="B270" s="43" t="s">
        <v>322</v>
      </c>
      <c r="C270" s="43">
        <v>44</v>
      </c>
      <c r="D270" s="44">
        <v>51169100</v>
      </c>
      <c r="E270" s="43">
        <v>7</v>
      </c>
      <c r="F270" s="43">
        <v>0</v>
      </c>
      <c r="G270" s="44">
        <v>106513.43</v>
      </c>
      <c r="H270" s="44">
        <v>65745.45</v>
      </c>
      <c r="I270" s="44">
        <v>33544.39</v>
      </c>
      <c r="J270" s="44">
        <v>32201.06</v>
      </c>
      <c r="K270" s="45">
        <v>6.29E-4</v>
      </c>
      <c r="L270" s="44">
        <v>1809359.52</v>
      </c>
      <c r="M270" s="44">
        <v>44955022.659999996</v>
      </c>
      <c r="N270" s="45">
        <v>0.87860000000000005</v>
      </c>
      <c r="O270" s="45">
        <v>2.0906999999999999E-2</v>
      </c>
      <c r="P270" s="45">
        <v>5.5000000000000002E-5</v>
      </c>
    </row>
    <row r="271" spans="1:16" x14ac:dyDescent="0.3">
      <c r="A271" s="43" t="s">
        <v>321</v>
      </c>
      <c r="B271" s="43" t="s">
        <v>322</v>
      </c>
      <c r="C271" s="43">
        <v>44</v>
      </c>
      <c r="D271" s="44">
        <v>51169100</v>
      </c>
      <c r="E271" s="43">
        <v>8</v>
      </c>
      <c r="F271" s="43">
        <v>0</v>
      </c>
      <c r="G271" s="44">
        <v>154463.96</v>
      </c>
      <c r="H271" s="44">
        <v>95092.08</v>
      </c>
      <c r="I271" s="44">
        <v>55167.99</v>
      </c>
      <c r="J271" s="44">
        <v>39924.080000000002</v>
      </c>
      <c r="K271" s="45">
        <v>7.7999999999999999E-4</v>
      </c>
      <c r="L271" s="44">
        <v>2140391.89</v>
      </c>
      <c r="M271" s="44">
        <v>43962010.549999997</v>
      </c>
      <c r="N271" s="45">
        <v>0.85919999999999996</v>
      </c>
      <c r="O271" s="45">
        <v>2.6336999999999999E-2</v>
      </c>
      <c r="P271" s="45">
        <v>1.8599999999999999E-4</v>
      </c>
    </row>
    <row r="272" spans="1:16" x14ac:dyDescent="0.3">
      <c r="A272" s="43" t="s">
        <v>321</v>
      </c>
      <c r="B272" s="43" t="s">
        <v>322</v>
      </c>
      <c r="C272" s="43">
        <v>44</v>
      </c>
      <c r="D272" s="44">
        <v>51169100</v>
      </c>
      <c r="E272" s="43">
        <v>9</v>
      </c>
      <c r="F272" s="43">
        <v>0</v>
      </c>
      <c r="G272" s="44">
        <v>193929.89</v>
      </c>
      <c r="H272" s="44">
        <v>117401.02</v>
      </c>
      <c r="I272" s="44">
        <v>74659.22</v>
      </c>
      <c r="J272" s="44">
        <v>42741.8</v>
      </c>
      <c r="K272" s="45">
        <v>8.3500000000000002E-4</v>
      </c>
      <c r="L272" s="44">
        <v>2675970.9</v>
      </c>
      <c r="M272" s="44">
        <v>42772936.409999996</v>
      </c>
      <c r="N272" s="45">
        <v>0.83589999999999998</v>
      </c>
      <c r="O272" s="45">
        <v>2.4743000000000001E-2</v>
      </c>
      <c r="P272" s="45">
        <v>4.5000000000000003E-5</v>
      </c>
    </row>
    <row r="273" spans="1:16" x14ac:dyDescent="0.3">
      <c r="A273" s="43" t="s">
        <v>321</v>
      </c>
      <c r="B273" s="43" t="s">
        <v>322</v>
      </c>
      <c r="C273" s="43">
        <v>44</v>
      </c>
      <c r="D273" s="44">
        <v>51169100</v>
      </c>
      <c r="E273" s="43">
        <v>10</v>
      </c>
      <c r="F273" s="43">
        <v>0</v>
      </c>
      <c r="G273" s="44">
        <v>240657.76</v>
      </c>
      <c r="H273" s="44">
        <v>147011.60999999999</v>
      </c>
      <c r="I273" s="44">
        <v>91177.86</v>
      </c>
      <c r="J273" s="44">
        <v>55833.75</v>
      </c>
      <c r="K273" s="45">
        <v>1.091E-3</v>
      </c>
      <c r="L273" s="44">
        <v>3236425.93</v>
      </c>
      <c r="M273" s="44">
        <v>41551724.299999997</v>
      </c>
      <c r="N273" s="45">
        <v>0.81200000000000006</v>
      </c>
      <c r="O273" s="45">
        <v>2.1516E-2</v>
      </c>
      <c r="P273" s="45">
        <v>3.28E-4</v>
      </c>
    </row>
    <row r="274" spans="1:16" x14ac:dyDescent="0.3">
      <c r="A274" s="43" t="s">
        <v>321</v>
      </c>
      <c r="B274" s="43" t="s">
        <v>322</v>
      </c>
      <c r="C274" s="43">
        <v>44</v>
      </c>
      <c r="D274" s="44">
        <v>51169100</v>
      </c>
      <c r="E274" s="43">
        <v>11</v>
      </c>
      <c r="F274" s="43">
        <v>0</v>
      </c>
      <c r="G274" s="44">
        <v>293016.63</v>
      </c>
      <c r="H274" s="44">
        <v>179627.84</v>
      </c>
      <c r="I274" s="44">
        <v>116683.59</v>
      </c>
      <c r="J274" s="44">
        <v>62944.24</v>
      </c>
      <c r="K274" s="45">
        <v>1.23E-3</v>
      </c>
      <c r="L274" s="44">
        <v>3743999.77</v>
      </c>
      <c r="M274" s="44">
        <v>40377762.399999999</v>
      </c>
      <c r="N274" s="45">
        <v>0.78910000000000002</v>
      </c>
      <c r="O274" s="45">
        <v>2.0344999999999999E-2</v>
      </c>
      <c r="P274" s="45">
        <v>8.8999999999999995E-5</v>
      </c>
    </row>
    <row r="275" spans="1:16" x14ac:dyDescent="0.3">
      <c r="A275" s="43" t="s">
        <v>321</v>
      </c>
      <c r="B275" s="43" t="s">
        <v>322</v>
      </c>
      <c r="C275" s="43">
        <v>44</v>
      </c>
      <c r="D275" s="44">
        <v>51169100</v>
      </c>
      <c r="E275" s="43">
        <v>12</v>
      </c>
      <c r="F275" s="43">
        <v>0</v>
      </c>
      <c r="G275" s="44">
        <v>358911.33</v>
      </c>
      <c r="H275" s="44">
        <v>216632.79</v>
      </c>
      <c r="I275" s="44">
        <v>148007.62</v>
      </c>
      <c r="J275" s="44">
        <v>68625.179999999993</v>
      </c>
      <c r="K275" s="45">
        <v>1.341E-3</v>
      </c>
      <c r="L275" s="44">
        <v>4276957.7300000004</v>
      </c>
      <c r="M275" s="44">
        <v>39164880.539999999</v>
      </c>
      <c r="N275" s="45">
        <v>0.76539999999999997</v>
      </c>
      <c r="O275" s="45">
        <v>2.4773E-2</v>
      </c>
      <c r="P275" s="45">
        <v>1.74E-4</v>
      </c>
    </row>
    <row r="276" spans="1:16" x14ac:dyDescent="0.3">
      <c r="A276" s="43" t="s">
        <v>321</v>
      </c>
      <c r="B276" s="43" t="s">
        <v>322</v>
      </c>
      <c r="C276" s="43">
        <v>44</v>
      </c>
      <c r="D276" s="44">
        <v>51169100</v>
      </c>
      <c r="E276" s="43">
        <v>13</v>
      </c>
      <c r="F276" s="43">
        <v>0</v>
      </c>
      <c r="G276" s="44">
        <v>445571.78</v>
      </c>
      <c r="H276" s="44">
        <v>281592.76</v>
      </c>
      <c r="I276" s="44">
        <v>175322.58</v>
      </c>
      <c r="J276" s="44">
        <v>106270.18</v>
      </c>
      <c r="K276" s="45">
        <v>2.0769999999999999E-3</v>
      </c>
      <c r="L276" s="44">
        <v>4556913.26</v>
      </c>
      <c r="M276" s="44">
        <v>38184235.359999999</v>
      </c>
      <c r="N276" s="45">
        <v>0.74619999999999997</v>
      </c>
      <c r="O276" s="45">
        <v>2.9125000000000002E-2</v>
      </c>
      <c r="P276" s="45">
        <v>5.1000000000000004E-4</v>
      </c>
    </row>
    <row r="277" spans="1:16" x14ac:dyDescent="0.3">
      <c r="A277" s="43" t="s">
        <v>321</v>
      </c>
      <c r="B277" s="43" t="s">
        <v>322</v>
      </c>
      <c r="C277" s="43">
        <v>44</v>
      </c>
      <c r="D277" s="44">
        <v>51169100</v>
      </c>
      <c r="E277" s="43">
        <v>14</v>
      </c>
      <c r="F277" s="43">
        <v>0</v>
      </c>
      <c r="G277" s="44">
        <v>536493.43000000005</v>
      </c>
      <c r="H277" s="44">
        <v>339977.47</v>
      </c>
      <c r="I277" s="44">
        <v>220292.45</v>
      </c>
      <c r="J277" s="44">
        <v>119685.02</v>
      </c>
      <c r="K277" s="45">
        <v>2.3389999999999999E-3</v>
      </c>
      <c r="L277" s="44">
        <v>4818759.04</v>
      </c>
      <c r="M277" s="44">
        <v>37217438.719999999</v>
      </c>
      <c r="N277" s="45">
        <v>0.72729999999999995</v>
      </c>
      <c r="O277" s="45">
        <v>2.7245999999999999E-2</v>
      </c>
      <c r="P277" s="45">
        <v>1.6200000000000001E-4</v>
      </c>
    </row>
    <row r="278" spans="1:16" x14ac:dyDescent="0.3">
      <c r="A278" s="43" t="s">
        <v>321</v>
      </c>
      <c r="B278" s="43" t="s">
        <v>322</v>
      </c>
      <c r="C278" s="43">
        <v>44</v>
      </c>
      <c r="D278" s="44">
        <v>51169100</v>
      </c>
      <c r="E278" s="43">
        <v>15</v>
      </c>
      <c r="F278" s="43">
        <v>0</v>
      </c>
      <c r="G278" s="44">
        <v>621540.88</v>
      </c>
      <c r="H278" s="44">
        <v>395811.01</v>
      </c>
      <c r="I278" s="44">
        <v>247458.32</v>
      </c>
      <c r="J278" s="44">
        <v>148352.69</v>
      </c>
      <c r="K278" s="45">
        <v>2.8990000000000001E-3</v>
      </c>
      <c r="L278" s="44">
        <v>5135944.76</v>
      </c>
      <c r="M278" s="44">
        <v>36201176.369999997</v>
      </c>
      <c r="N278" s="45">
        <v>0.70750000000000002</v>
      </c>
      <c r="O278" s="45">
        <v>2.9545999999999999E-2</v>
      </c>
      <c r="P278" s="45">
        <v>4.1399999999999998E-4</v>
      </c>
    </row>
    <row r="279" spans="1:16" x14ac:dyDescent="0.3">
      <c r="A279" s="43" t="s">
        <v>321</v>
      </c>
      <c r="B279" s="43" t="s">
        <v>322</v>
      </c>
      <c r="C279" s="43">
        <v>44</v>
      </c>
      <c r="D279" s="44">
        <v>51169100</v>
      </c>
      <c r="E279" s="43">
        <v>16</v>
      </c>
      <c r="F279" s="43">
        <v>0</v>
      </c>
      <c r="G279" s="44">
        <v>732122.68</v>
      </c>
      <c r="H279" s="44">
        <v>477874.15</v>
      </c>
      <c r="I279" s="44">
        <v>296829.55</v>
      </c>
      <c r="J279" s="44">
        <v>181044.6</v>
      </c>
      <c r="K279" s="45">
        <v>3.5379999999999999E-3</v>
      </c>
      <c r="L279" s="44">
        <v>5809362.6299999999</v>
      </c>
      <c r="M279" s="44">
        <v>34803147.5</v>
      </c>
      <c r="N279" s="45">
        <v>0.68020000000000003</v>
      </c>
      <c r="O279" s="45">
        <v>2.0983999999999999E-2</v>
      </c>
      <c r="P279" s="45">
        <v>3.3500000000000001E-4</v>
      </c>
    </row>
    <row r="280" spans="1:16" x14ac:dyDescent="0.3">
      <c r="A280" s="43" t="s">
        <v>321</v>
      </c>
      <c r="B280" s="43" t="s">
        <v>322</v>
      </c>
      <c r="C280" s="43">
        <v>44</v>
      </c>
      <c r="D280" s="44">
        <v>51169100</v>
      </c>
      <c r="E280" s="43">
        <v>17</v>
      </c>
      <c r="F280" s="43">
        <v>0</v>
      </c>
      <c r="G280" s="44">
        <v>821455.07</v>
      </c>
      <c r="H280" s="44">
        <v>530098.74</v>
      </c>
      <c r="I280" s="44">
        <v>336199.72</v>
      </c>
      <c r="J280" s="44">
        <v>193899.03</v>
      </c>
      <c r="K280" s="45">
        <v>3.7889999999999998E-3</v>
      </c>
      <c r="L280" s="44">
        <v>6488329.8099999996</v>
      </c>
      <c r="M280" s="44">
        <v>33420818.719999999</v>
      </c>
      <c r="N280" s="45">
        <v>0.65310000000000001</v>
      </c>
      <c r="O280" s="45">
        <v>2.9814E-2</v>
      </c>
      <c r="P280" s="45">
        <v>2.2699999999999999E-4</v>
      </c>
    </row>
    <row r="281" spans="1:16" x14ac:dyDescent="0.3">
      <c r="A281" s="43" t="s">
        <v>321</v>
      </c>
      <c r="B281" s="43" t="s">
        <v>322</v>
      </c>
      <c r="C281" s="43">
        <v>44</v>
      </c>
      <c r="D281" s="44">
        <v>51169100</v>
      </c>
      <c r="E281" s="43">
        <v>18</v>
      </c>
      <c r="F281" s="43">
        <v>0</v>
      </c>
      <c r="G281" s="44">
        <v>930441.13</v>
      </c>
      <c r="H281" s="44">
        <v>611360.38</v>
      </c>
      <c r="I281" s="44">
        <v>378994.41</v>
      </c>
      <c r="J281" s="44">
        <v>232365.98</v>
      </c>
      <c r="K281" s="45">
        <v>4.5409999999999999E-3</v>
      </c>
      <c r="L281" s="44">
        <v>7111551.25</v>
      </c>
      <c r="M281" s="44">
        <v>32074582.030000001</v>
      </c>
      <c r="N281" s="45">
        <v>0.62680000000000002</v>
      </c>
      <c r="O281" s="45">
        <v>2.947E-2</v>
      </c>
      <c r="P281" s="45">
        <v>6.9300000000000004E-4</v>
      </c>
    </row>
    <row r="282" spans="1:16" x14ac:dyDescent="0.3">
      <c r="A282" s="43" t="s">
        <v>321</v>
      </c>
      <c r="B282" s="43" t="s">
        <v>322</v>
      </c>
      <c r="C282" s="43">
        <v>44</v>
      </c>
      <c r="D282" s="44">
        <v>51169100</v>
      </c>
      <c r="E282" s="43">
        <v>19</v>
      </c>
      <c r="F282" s="43">
        <v>0</v>
      </c>
      <c r="G282" s="44">
        <v>1025500.08</v>
      </c>
      <c r="H282" s="44">
        <v>667315.73</v>
      </c>
      <c r="I282" s="44">
        <v>413489.3</v>
      </c>
      <c r="J282" s="44">
        <v>253826.43</v>
      </c>
      <c r="K282" s="45">
        <v>4.9610000000000001E-3</v>
      </c>
      <c r="L282" s="44">
        <v>7569853.1299999999</v>
      </c>
      <c r="M282" s="44">
        <v>30907192</v>
      </c>
      <c r="N282" s="45">
        <v>0.60399999999999998</v>
      </c>
      <c r="O282" s="45">
        <v>2.2239999999999999E-2</v>
      </c>
      <c r="P282" s="45">
        <v>3.8000000000000002E-4</v>
      </c>
    </row>
    <row r="283" spans="1:16" x14ac:dyDescent="0.3">
      <c r="A283" s="43" t="s">
        <v>321</v>
      </c>
      <c r="B283" s="43" t="s">
        <v>322</v>
      </c>
      <c r="C283" s="43">
        <v>44</v>
      </c>
      <c r="D283" s="44">
        <v>51169100</v>
      </c>
      <c r="E283" s="43">
        <v>20</v>
      </c>
      <c r="F283" s="43">
        <v>0</v>
      </c>
      <c r="G283" s="44">
        <v>1119276.19</v>
      </c>
      <c r="H283" s="44">
        <v>725690.3</v>
      </c>
      <c r="I283" s="44">
        <v>447855.25</v>
      </c>
      <c r="J283" s="44">
        <v>277835.05</v>
      </c>
      <c r="K283" s="45">
        <v>5.4299999999999999E-3</v>
      </c>
      <c r="L283" s="44">
        <v>8117121.6200000001</v>
      </c>
      <c r="M283" s="44">
        <v>29652118.190000001</v>
      </c>
      <c r="N283" s="45">
        <v>0.57950000000000002</v>
      </c>
      <c r="O283" s="45">
        <v>3.0155999999999999E-2</v>
      </c>
      <c r="P283" s="45">
        <v>6.8499999999999995E-4</v>
      </c>
    </row>
    <row r="284" spans="1:16" x14ac:dyDescent="0.3">
      <c r="A284" s="43" t="s">
        <v>321</v>
      </c>
      <c r="B284" s="43" t="s">
        <v>322</v>
      </c>
      <c r="C284" s="43">
        <v>44</v>
      </c>
      <c r="D284" s="44">
        <v>51169100</v>
      </c>
      <c r="E284" s="43">
        <v>21</v>
      </c>
      <c r="F284" s="43">
        <v>0</v>
      </c>
      <c r="G284" s="44">
        <v>1200430.25</v>
      </c>
      <c r="H284" s="44">
        <v>777482.02</v>
      </c>
      <c r="I284" s="44">
        <v>477189.39</v>
      </c>
      <c r="J284" s="44">
        <v>300292.64</v>
      </c>
      <c r="K284" s="45">
        <v>5.8690000000000001E-3</v>
      </c>
      <c r="L284" s="44">
        <v>8365357.9900000002</v>
      </c>
      <c r="M284" s="44">
        <v>28708698.550000001</v>
      </c>
      <c r="N284" s="45">
        <v>0.56110000000000004</v>
      </c>
      <c r="O284" s="45">
        <v>2.2880000000000001E-2</v>
      </c>
      <c r="P284" s="45">
        <v>5.2499999999999997E-4</v>
      </c>
    </row>
    <row r="285" spans="1:16" x14ac:dyDescent="0.3">
      <c r="A285" s="43" t="s">
        <v>321</v>
      </c>
      <c r="B285" s="43" t="s">
        <v>322</v>
      </c>
      <c r="C285" s="43">
        <v>44</v>
      </c>
      <c r="D285" s="44">
        <v>51169100</v>
      </c>
      <c r="E285" s="43">
        <v>22</v>
      </c>
      <c r="F285" s="43">
        <v>0</v>
      </c>
      <c r="G285" s="44">
        <v>1339288.6200000001</v>
      </c>
      <c r="H285" s="44">
        <v>862271.14</v>
      </c>
      <c r="I285" s="44">
        <v>530157.39</v>
      </c>
      <c r="J285" s="44">
        <v>332113.76</v>
      </c>
      <c r="K285" s="45">
        <v>6.4910000000000002E-3</v>
      </c>
      <c r="L285" s="44">
        <v>8918441.0700000003</v>
      </c>
      <c r="M285" s="44">
        <v>27402727.91</v>
      </c>
      <c r="N285" s="45">
        <v>0.53549999999999998</v>
      </c>
      <c r="O285" s="45">
        <v>3.0013999999999999E-2</v>
      </c>
      <c r="P285" s="45">
        <v>6.3100000000000005E-4</v>
      </c>
    </row>
    <row r="286" spans="1:16" x14ac:dyDescent="0.3">
      <c r="A286" s="43" t="s">
        <v>321</v>
      </c>
      <c r="B286" s="43" t="s">
        <v>322</v>
      </c>
      <c r="C286" s="43">
        <v>44</v>
      </c>
      <c r="D286" s="44">
        <v>51169100</v>
      </c>
      <c r="E286" s="43">
        <v>23</v>
      </c>
      <c r="F286" s="43">
        <v>0</v>
      </c>
      <c r="G286" s="44">
        <v>1477499.52</v>
      </c>
      <c r="H286" s="44">
        <v>965596.32</v>
      </c>
      <c r="I286" s="44">
        <v>592333.28</v>
      </c>
      <c r="J286" s="44">
        <v>373263.04</v>
      </c>
      <c r="K286" s="45">
        <v>7.2950000000000003E-3</v>
      </c>
      <c r="L286" s="44">
        <v>9323395.8300000001</v>
      </c>
      <c r="M286" s="44">
        <v>26245533.050000001</v>
      </c>
      <c r="N286" s="45">
        <v>0.51290000000000002</v>
      </c>
      <c r="O286" s="45">
        <v>2.5701999999999999E-2</v>
      </c>
      <c r="P286" s="45">
        <v>6.9399999999999996E-4</v>
      </c>
    </row>
    <row r="287" spans="1:16" x14ac:dyDescent="0.3">
      <c r="A287" s="43" t="s">
        <v>321</v>
      </c>
      <c r="B287" s="43" t="s">
        <v>322</v>
      </c>
      <c r="C287" s="43">
        <v>44</v>
      </c>
      <c r="D287" s="44">
        <v>51169100</v>
      </c>
      <c r="E287" s="43">
        <v>24</v>
      </c>
      <c r="F287" s="43">
        <v>0</v>
      </c>
      <c r="G287" s="44">
        <v>1578877.4</v>
      </c>
      <c r="H287" s="44">
        <v>1038744.25</v>
      </c>
      <c r="I287" s="44">
        <v>625612.79</v>
      </c>
      <c r="J287" s="44">
        <v>413131.47</v>
      </c>
      <c r="K287" s="45">
        <v>8.0739999999999996E-3</v>
      </c>
      <c r="L287" s="44">
        <v>10057907.9</v>
      </c>
      <c r="M287" s="44">
        <v>24795613.899999999</v>
      </c>
      <c r="N287" s="45">
        <v>0.48459999999999998</v>
      </c>
      <c r="O287" s="45">
        <v>2.8979999999999999E-2</v>
      </c>
      <c r="P287" s="45">
        <v>5.7499999999999999E-4</v>
      </c>
    </row>
    <row r="288" spans="1:16" x14ac:dyDescent="0.3">
      <c r="A288" s="43" t="s">
        <v>323</v>
      </c>
      <c r="B288" s="43" t="s">
        <v>324</v>
      </c>
      <c r="C288" s="43">
        <v>27</v>
      </c>
      <c r="D288" s="44">
        <v>30338200</v>
      </c>
      <c r="E288" s="43">
        <v>0</v>
      </c>
      <c r="F288" s="43">
        <v>0</v>
      </c>
      <c r="G288" s="44">
        <v>0</v>
      </c>
      <c r="H288" s="44">
        <v>0</v>
      </c>
      <c r="I288" s="44">
        <v>0</v>
      </c>
      <c r="J288" s="44">
        <v>0</v>
      </c>
      <c r="K288" s="45">
        <v>0</v>
      </c>
      <c r="L288" s="44">
        <v>88289.33</v>
      </c>
      <c r="M288" s="44">
        <v>30249910.670000002</v>
      </c>
      <c r="N288" s="45">
        <v>0.99709999999999999</v>
      </c>
      <c r="O288" s="45">
        <v>2.2336999999999999E-2</v>
      </c>
      <c r="P288" s="45">
        <v>0</v>
      </c>
    </row>
    <row r="289" spans="1:16" x14ac:dyDescent="0.3">
      <c r="A289" s="43" t="s">
        <v>323</v>
      </c>
      <c r="B289" s="43" t="s">
        <v>324</v>
      </c>
      <c r="C289" s="43">
        <v>27</v>
      </c>
      <c r="D289" s="44">
        <v>30338200</v>
      </c>
      <c r="E289" s="43">
        <v>1</v>
      </c>
      <c r="F289" s="43">
        <v>0</v>
      </c>
      <c r="G289" s="44">
        <v>2405.85</v>
      </c>
      <c r="H289" s="44">
        <v>1507.24</v>
      </c>
      <c r="I289" s="44">
        <v>0</v>
      </c>
      <c r="J289" s="44">
        <v>1507.24</v>
      </c>
      <c r="K289" s="45">
        <v>5.0000000000000002E-5</v>
      </c>
      <c r="L289" s="44">
        <v>279841.01</v>
      </c>
      <c r="M289" s="44">
        <v>29691894.739999998</v>
      </c>
      <c r="N289" s="45">
        <v>0.97870000000000001</v>
      </c>
      <c r="O289" s="45">
        <v>2.1739999999999999E-2</v>
      </c>
      <c r="P289" s="45">
        <v>5.5000000000000002E-5</v>
      </c>
    </row>
    <row r="290" spans="1:16" x14ac:dyDescent="0.3">
      <c r="A290" s="43" t="s">
        <v>323</v>
      </c>
      <c r="B290" s="43" t="s">
        <v>324</v>
      </c>
      <c r="C290" s="43">
        <v>27</v>
      </c>
      <c r="D290" s="44">
        <v>30338200</v>
      </c>
      <c r="E290" s="43">
        <v>2</v>
      </c>
      <c r="F290" s="43">
        <v>0</v>
      </c>
      <c r="G290" s="44">
        <v>6228.31</v>
      </c>
      <c r="H290" s="44">
        <v>4251.92</v>
      </c>
      <c r="I290" s="44">
        <v>0</v>
      </c>
      <c r="J290" s="44">
        <v>4251.92</v>
      </c>
      <c r="K290" s="45">
        <v>1.3999999999999999E-4</v>
      </c>
      <c r="L290" s="44">
        <v>490881.66</v>
      </c>
      <c r="M290" s="44">
        <v>29112973.239999998</v>
      </c>
      <c r="N290" s="45">
        <v>0.95960000000000001</v>
      </c>
      <c r="O290" s="45">
        <v>2.2689999999999998E-2</v>
      </c>
      <c r="P290" s="45">
        <v>8.2999999999999998E-5</v>
      </c>
    </row>
    <row r="291" spans="1:16" x14ac:dyDescent="0.3">
      <c r="A291" s="43" t="s">
        <v>323</v>
      </c>
      <c r="B291" s="43" t="s">
        <v>324</v>
      </c>
      <c r="C291" s="43">
        <v>27</v>
      </c>
      <c r="D291" s="44">
        <v>30338200</v>
      </c>
      <c r="E291" s="43">
        <v>3</v>
      </c>
      <c r="F291" s="43">
        <v>0</v>
      </c>
      <c r="G291" s="44">
        <v>12140.08</v>
      </c>
      <c r="H291" s="44">
        <v>8378.4</v>
      </c>
      <c r="I291" s="44">
        <v>0</v>
      </c>
      <c r="J291" s="44">
        <v>8378.4</v>
      </c>
      <c r="K291" s="45">
        <v>2.7599999999999999E-4</v>
      </c>
      <c r="L291" s="44">
        <v>602528.12</v>
      </c>
      <c r="M291" s="44">
        <v>28631356.609999999</v>
      </c>
      <c r="N291" s="45">
        <v>0.94369999999999998</v>
      </c>
      <c r="O291" s="45">
        <v>2.0045E-2</v>
      </c>
      <c r="P291" s="45">
        <v>1.13E-4</v>
      </c>
    </row>
    <row r="292" spans="1:16" x14ac:dyDescent="0.3">
      <c r="A292" s="43" t="s">
        <v>323</v>
      </c>
      <c r="B292" s="43" t="s">
        <v>324</v>
      </c>
      <c r="C292" s="43">
        <v>27</v>
      </c>
      <c r="D292" s="44">
        <v>30338200</v>
      </c>
      <c r="E292" s="43">
        <v>4</v>
      </c>
      <c r="F292" s="43">
        <v>0</v>
      </c>
      <c r="G292" s="44">
        <v>24220.1</v>
      </c>
      <c r="H292" s="44">
        <v>16980.71</v>
      </c>
      <c r="I292" s="44">
        <v>3991.11</v>
      </c>
      <c r="J292" s="44">
        <v>12989.6</v>
      </c>
      <c r="K292" s="45">
        <v>4.28E-4</v>
      </c>
      <c r="L292" s="44">
        <v>710143.17</v>
      </c>
      <c r="M292" s="44">
        <v>28147603.129999999</v>
      </c>
      <c r="N292" s="45">
        <v>0.92779999999999996</v>
      </c>
      <c r="O292" s="45">
        <v>1.9892E-2</v>
      </c>
      <c r="P292" s="45">
        <v>1.3799999999999999E-4</v>
      </c>
    </row>
    <row r="293" spans="1:16" x14ac:dyDescent="0.3">
      <c r="A293" s="43" t="s">
        <v>323</v>
      </c>
      <c r="B293" s="43" t="s">
        <v>324</v>
      </c>
      <c r="C293" s="43">
        <v>27</v>
      </c>
      <c r="D293" s="44">
        <v>30338200</v>
      </c>
      <c r="E293" s="43">
        <v>5</v>
      </c>
      <c r="F293" s="43">
        <v>0</v>
      </c>
      <c r="G293" s="44">
        <v>34361.9</v>
      </c>
      <c r="H293" s="44">
        <v>23332.43</v>
      </c>
      <c r="I293" s="44">
        <v>8728.66</v>
      </c>
      <c r="J293" s="44">
        <v>14603.77</v>
      </c>
      <c r="K293" s="45">
        <v>4.8099999999999998E-4</v>
      </c>
      <c r="L293" s="44">
        <v>915913.73</v>
      </c>
      <c r="M293" s="44">
        <v>27567632.370000001</v>
      </c>
      <c r="N293" s="45">
        <v>0.90869999999999995</v>
      </c>
      <c r="O293" s="45">
        <v>1.8127000000000001E-2</v>
      </c>
      <c r="P293" s="45">
        <v>6.3E-5</v>
      </c>
    </row>
    <row r="294" spans="1:16" x14ac:dyDescent="0.3">
      <c r="A294" s="43" t="s">
        <v>323</v>
      </c>
      <c r="B294" s="43" t="s">
        <v>324</v>
      </c>
      <c r="C294" s="43">
        <v>27</v>
      </c>
      <c r="D294" s="44">
        <v>30338200</v>
      </c>
      <c r="E294" s="43">
        <v>6</v>
      </c>
      <c r="F294" s="43">
        <v>0</v>
      </c>
      <c r="G294" s="44">
        <v>50727.18</v>
      </c>
      <c r="H294" s="44">
        <v>34774.239999999998</v>
      </c>
      <c r="I294" s="44">
        <v>16255.48</v>
      </c>
      <c r="J294" s="44">
        <v>18518.75</v>
      </c>
      <c r="K294" s="45">
        <v>6.0999999999999997E-4</v>
      </c>
      <c r="L294" s="44">
        <v>1157683.47</v>
      </c>
      <c r="M294" s="44">
        <v>26945438.949999999</v>
      </c>
      <c r="N294" s="45">
        <v>0.88819999999999999</v>
      </c>
      <c r="O294" s="45">
        <v>1.7111000000000001E-2</v>
      </c>
      <c r="P294" s="45">
        <v>1.1E-4</v>
      </c>
    </row>
    <row r="295" spans="1:16" x14ac:dyDescent="0.3">
      <c r="A295" s="43" t="s">
        <v>323</v>
      </c>
      <c r="B295" s="43" t="s">
        <v>324</v>
      </c>
      <c r="C295" s="43">
        <v>27</v>
      </c>
      <c r="D295" s="44">
        <v>30338200</v>
      </c>
      <c r="E295" s="43">
        <v>7</v>
      </c>
      <c r="F295" s="43">
        <v>0</v>
      </c>
      <c r="G295" s="44">
        <v>65583.259999999995</v>
      </c>
      <c r="H295" s="44">
        <v>44827.49</v>
      </c>
      <c r="I295" s="44">
        <v>22594.13</v>
      </c>
      <c r="J295" s="44">
        <v>22233.360000000001</v>
      </c>
      <c r="K295" s="45">
        <v>7.3300000000000004E-4</v>
      </c>
      <c r="L295" s="44">
        <v>1455399.91</v>
      </c>
      <c r="M295" s="44">
        <v>26268808.030000001</v>
      </c>
      <c r="N295" s="45">
        <v>0.8659</v>
      </c>
      <c r="O295" s="45">
        <v>2.2256000000000001E-2</v>
      </c>
      <c r="P295" s="45">
        <v>1.35E-4</v>
      </c>
    </row>
    <row r="296" spans="1:16" x14ac:dyDescent="0.3">
      <c r="A296" s="43" t="s">
        <v>323</v>
      </c>
      <c r="B296" s="43" t="s">
        <v>324</v>
      </c>
      <c r="C296" s="43">
        <v>27</v>
      </c>
      <c r="D296" s="44">
        <v>30338200</v>
      </c>
      <c r="E296" s="43">
        <v>8</v>
      </c>
      <c r="F296" s="43">
        <v>0</v>
      </c>
      <c r="G296" s="44">
        <v>89036.83</v>
      </c>
      <c r="H296" s="44">
        <v>57870.05</v>
      </c>
      <c r="I296" s="44">
        <v>32929.93</v>
      </c>
      <c r="J296" s="44">
        <v>24940.12</v>
      </c>
      <c r="K296" s="45">
        <v>8.2200000000000003E-4</v>
      </c>
      <c r="L296" s="44">
        <v>1596014.81</v>
      </c>
      <c r="M296" s="44">
        <v>25740681.16</v>
      </c>
      <c r="N296" s="45">
        <v>0.84850000000000003</v>
      </c>
      <c r="O296" s="45">
        <v>2.7268000000000001E-2</v>
      </c>
      <c r="P296" s="45">
        <v>1.8699999999999999E-4</v>
      </c>
    </row>
    <row r="297" spans="1:16" x14ac:dyDescent="0.3">
      <c r="A297" s="43" t="s">
        <v>323</v>
      </c>
      <c r="B297" s="43" t="s">
        <v>324</v>
      </c>
      <c r="C297" s="43">
        <v>27</v>
      </c>
      <c r="D297" s="44">
        <v>30338200</v>
      </c>
      <c r="E297" s="43">
        <v>9</v>
      </c>
      <c r="F297" s="43">
        <v>0</v>
      </c>
      <c r="G297" s="44">
        <v>122158.75</v>
      </c>
      <c r="H297" s="44">
        <v>76940.45</v>
      </c>
      <c r="I297" s="44">
        <v>45116.15</v>
      </c>
      <c r="J297" s="44">
        <v>31824.3</v>
      </c>
      <c r="K297" s="45">
        <v>1.049E-3</v>
      </c>
      <c r="L297" s="44">
        <v>1815856.95</v>
      </c>
      <c r="M297" s="44">
        <v>25123658.699999999</v>
      </c>
      <c r="N297" s="45">
        <v>0.82809999999999995</v>
      </c>
      <c r="O297" s="45">
        <v>2.6051000000000001E-2</v>
      </c>
      <c r="P297" s="45">
        <v>3.2000000000000003E-4</v>
      </c>
    </row>
    <row r="298" spans="1:16" x14ac:dyDescent="0.3">
      <c r="A298" s="43" t="s">
        <v>323</v>
      </c>
      <c r="B298" s="43" t="s">
        <v>324</v>
      </c>
      <c r="C298" s="43">
        <v>27</v>
      </c>
      <c r="D298" s="44">
        <v>30338200</v>
      </c>
      <c r="E298" s="43">
        <v>10</v>
      </c>
      <c r="F298" s="43">
        <v>0</v>
      </c>
      <c r="G298" s="44">
        <v>160493.04999999999</v>
      </c>
      <c r="H298" s="44">
        <v>99452.39</v>
      </c>
      <c r="I298" s="44">
        <v>59297.14</v>
      </c>
      <c r="J298" s="44">
        <v>40155.25</v>
      </c>
      <c r="K298" s="45">
        <v>1.3240000000000001E-3</v>
      </c>
      <c r="L298" s="44">
        <v>1997314.18</v>
      </c>
      <c r="M298" s="44">
        <v>24539808.780000001</v>
      </c>
      <c r="N298" s="45">
        <v>0.80889999999999995</v>
      </c>
      <c r="O298" s="45">
        <v>2.5506000000000001E-2</v>
      </c>
      <c r="P298" s="45">
        <v>2.3900000000000001E-4</v>
      </c>
    </row>
    <row r="299" spans="1:16" x14ac:dyDescent="0.3">
      <c r="A299" s="43" t="s">
        <v>323</v>
      </c>
      <c r="B299" s="43" t="s">
        <v>324</v>
      </c>
      <c r="C299" s="43">
        <v>27</v>
      </c>
      <c r="D299" s="44">
        <v>30338200</v>
      </c>
      <c r="E299" s="43">
        <v>11</v>
      </c>
      <c r="F299" s="43">
        <v>0</v>
      </c>
      <c r="G299" s="44">
        <v>198245.96</v>
      </c>
      <c r="H299" s="44">
        <v>125550.95</v>
      </c>
      <c r="I299" s="44">
        <v>77611.12</v>
      </c>
      <c r="J299" s="44">
        <v>47939.83</v>
      </c>
      <c r="K299" s="45">
        <v>1.58E-3</v>
      </c>
      <c r="L299" s="44">
        <v>2266068.2599999998</v>
      </c>
      <c r="M299" s="44">
        <v>23869243.379999999</v>
      </c>
      <c r="N299" s="45">
        <v>0.78680000000000005</v>
      </c>
      <c r="O299" s="45">
        <v>2.0140999999999999E-2</v>
      </c>
      <c r="P299" s="45">
        <v>2.3800000000000001E-4</v>
      </c>
    </row>
    <row r="300" spans="1:16" x14ac:dyDescent="0.3">
      <c r="A300" s="43" t="s">
        <v>323</v>
      </c>
      <c r="B300" s="43" t="s">
        <v>324</v>
      </c>
      <c r="C300" s="43">
        <v>27</v>
      </c>
      <c r="D300" s="44">
        <v>30338200</v>
      </c>
      <c r="E300" s="43">
        <v>12</v>
      </c>
      <c r="F300" s="43">
        <v>0</v>
      </c>
      <c r="G300" s="44">
        <v>236532.96</v>
      </c>
      <c r="H300" s="44">
        <v>146828.41</v>
      </c>
      <c r="I300" s="44">
        <v>92007.82</v>
      </c>
      <c r="J300" s="44">
        <v>54820.59</v>
      </c>
      <c r="K300" s="45">
        <v>1.807E-3</v>
      </c>
      <c r="L300" s="44">
        <v>2456316.21</v>
      </c>
      <c r="M300" s="44">
        <v>23276650.039999999</v>
      </c>
      <c r="N300" s="45">
        <v>0.76719999999999999</v>
      </c>
      <c r="O300" s="45">
        <v>2.6912999999999999E-2</v>
      </c>
      <c r="P300" s="45">
        <v>4.2900000000000002E-4</v>
      </c>
    </row>
    <row r="301" spans="1:16" x14ac:dyDescent="0.3">
      <c r="A301" s="43" t="s">
        <v>323</v>
      </c>
      <c r="B301" s="43" t="s">
        <v>324</v>
      </c>
      <c r="C301" s="43">
        <v>27</v>
      </c>
      <c r="D301" s="44">
        <v>30338200</v>
      </c>
      <c r="E301" s="43">
        <v>13</v>
      </c>
      <c r="F301" s="43">
        <v>0</v>
      </c>
      <c r="G301" s="44">
        <v>272294.76</v>
      </c>
      <c r="H301" s="44">
        <v>169909.84</v>
      </c>
      <c r="I301" s="44">
        <v>105301.29</v>
      </c>
      <c r="J301" s="44">
        <v>64608.56</v>
      </c>
      <c r="K301" s="45">
        <v>2.1299999999999999E-3</v>
      </c>
      <c r="L301" s="44">
        <v>2654943.39</v>
      </c>
      <c r="M301" s="44">
        <v>22678202.649999999</v>
      </c>
      <c r="N301" s="45">
        <v>0.74750000000000005</v>
      </c>
      <c r="O301" s="45">
        <v>2.3845000000000002E-2</v>
      </c>
      <c r="P301" s="45">
        <v>4.0000000000000002E-4</v>
      </c>
    </row>
    <row r="302" spans="1:16" x14ac:dyDescent="0.3">
      <c r="A302" s="43" t="s">
        <v>323</v>
      </c>
      <c r="B302" s="43" t="s">
        <v>324</v>
      </c>
      <c r="C302" s="43">
        <v>27</v>
      </c>
      <c r="D302" s="44">
        <v>30338200</v>
      </c>
      <c r="E302" s="43">
        <v>14</v>
      </c>
      <c r="F302" s="43">
        <v>0</v>
      </c>
      <c r="G302" s="44">
        <v>323060.62</v>
      </c>
      <c r="H302" s="44">
        <v>198067.57</v>
      </c>
      <c r="I302" s="44">
        <v>123993.94</v>
      </c>
      <c r="J302" s="44">
        <v>74073.63</v>
      </c>
      <c r="K302" s="45">
        <v>2.4420000000000002E-3</v>
      </c>
      <c r="L302" s="44">
        <v>2965155.25</v>
      </c>
      <c r="M302" s="44">
        <v>21953166.539999999</v>
      </c>
      <c r="N302" s="45">
        <v>0.72360000000000002</v>
      </c>
      <c r="O302" s="45">
        <v>2.8372999999999999E-2</v>
      </c>
      <c r="P302" s="45">
        <v>5.1699999999999999E-4</v>
      </c>
    </row>
    <row r="303" spans="1:16" x14ac:dyDescent="0.3">
      <c r="A303" s="43" t="s">
        <v>323</v>
      </c>
      <c r="B303" s="43" t="s">
        <v>324</v>
      </c>
      <c r="C303" s="43">
        <v>27</v>
      </c>
      <c r="D303" s="44">
        <v>30338200</v>
      </c>
      <c r="E303" s="43">
        <v>15</v>
      </c>
      <c r="F303" s="43">
        <v>0</v>
      </c>
      <c r="G303" s="44">
        <v>386323.38</v>
      </c>
      <c r="H303" s="44">
        <v>241564.65</v>
      </c>
      <c r="I303" s="44">
        <v>147154.21</v>
      </c>
      <c r="J303" s="44">
        <v>94410.44</v>
      </c>
      <c r="K303" s="45">
        <v>3.1120000000000002E-3</v>
      </c>
      <c r="L303" s="44">
        <v>3197151.5</v>
      </c>
      <c r="M303" s="44">
        <v>21293849.120000001</v>
      </c>
      <c r="N303" s="45">
        <v>0.70189999999999997</v>
      </c>
      <c r="O303" s="45">
        <v>2.2041999999999999E-2</v>
      </c>
      <c r="P303" s="45">
        <v>4.2299999999999998E-4</v>
      </c>
    </row>
    <row r="304" spans="1:16" x14ac:dyDescent="0.3">
      <c r="A304" s="43" t="s">
        <v>323</v>
      </c>
      <c r="B304" s="43" t="s">
        <v>324</v>
      </c>
      <c r="C304" s="43">
        <v>27</v>
      </c>
      <c r="D304" s="44">
        <v>30338200</v>
      </c>
      <c r="E304" s="43">
        <v>16</v>
      </c>
      <c r="F304" s="43">
        <v>0</v>
      </c>
      <c r="G304" s="44">
        <v>435877.04</v>
      </c>
      <c r="H304" s="44">
        <v>271005.05</v>
      </c>
      <c r="I304" s="44">
        <v>165532.85999999999</v>
      </c>
      <c r="J304" s="44">
        <v>105472.19</v>
      </c>
      <c r="K304" s="45">
        <v>3.4770000000000001E-3</v>
      </c>
      <c r="L304" s="44">
        <v>3544327.3</v>
      </c>
      <c r="M304" s="44">
        <v>20533061.260000002</v>
      </c>
      <c r="N304" s="45">
        <v>0.67679999999999996</v>
      </c>
      <c r="O304" s="45">
        <v>2.5922000000000001E-2</v>
      </c>
      <c r="P304" s="45">
        <v>4.66E-4</v>
      </c>
    </row>
    <row r="305" spans="1:16" x14ac:dyDescent="0.3">
      <c r="A305" s="43" t="s">
        <v>323</v>
      </c>
      <c r="B305" s="43" t="s">
        <v>324</v>
      </c>
      <c r="C305" s="43">
        <v>27</v>
      </c>
      <c r="D305" s="44">
        <v>30338200</v>
      </c>
      <c r="E305" s="43">
        <v>17</v>
      </c>
      <c r="F305" s="43">
        <v>0</v>
      </c>
      <c r="G305" s="44">
        <v>507326.21</v>
      </c>
      <c r="H305" s="44">
        <v>320265.78000000003</v>
      </c>
      <c r="I305" s="44">
        <v>199543.72</v>
      </c>
      <c r="J305" s="44">
        <v>120722.07</v>
      </c>
      <c r="K305" s="45">
        <v>3.9789999999999999E-3</v>
      </c>
      <c r="L305" s="44">
        <v>3773701.79</v>
      </c>
      <c r="M305" s="44">
        <v>19868179.199999999</v>
      </c>
      <c r="N305" s="45">
        <v>0.65490000000000004</v>
      </c>
      <c r="O305" s="45">
        <v>2.9780000000000001E-2</v>
      </c>
      <c r="P305" s="45">
        <v>4.6299999999999998E-4</v>
      </c>
    </row>
    <row r="306" spans="1:16" x14ac:dyDescent="0.3">
      <c r="A306" s="43" t="s">
        <v>323</v>
      </c>
      <c r="B306" s="43" t="s">
        <v>324</v>
      </c>
      <c r="C306" s="43">
        <v>27</v>
      </c>
      <c r="D306" s="44">
        <v>30338200</v>
      </c>
      <c r="E306" s="43">
        <v>18</v>
      </c>
      <c r="F306" s="43">
        <v>0</v>
      </c>
      <c r="G306" s="44">
        <v>580001.54</v>
      </c>
      <c r="H306" s="44">
        <v>366293.83</v>
      </c>
      <c r="I306" s="44">
        <v>227005.58</v>
      </c>
      <c r="J306" s="44">
        <v>139288.25</v>
      </c>
      <c r="K306" s="45">
        <v>4.5909999999999996E-3</v>
      </c>
      <c r="L306" s="44">
        <v>4176775.77</v>
      </c>
      <c r="M306" s="44">
        <v>19028371.489999998</v>
      </c>
      <c r="N306" s="45">
        <v>0.62719999999999998</v>
      </c>
      <c r="O306" s="45">
        <v>2.2280000000000001E-2</v>
      </c>
      <c r="P306" s="45">
        <v>8.5700000000000001E-4</v>
      </c>
    </row>
    <row r="307" spans="1:16" x14ac:dyDescent="0.3">
      <c r="A307" s="43" t="s">
        <v>323</v>
      </c>
      <c r="B307" s="43" t="s">
        <v>324</v>
      </c>
      <c r="C307" s="43">
        <v>27</v>
      </c>
      <c r="D307" s="44">
        <v>30338200</v>
      </c>
      <c r="E307" s="43">
        <v>19</v>
      </c>
      <c r="F307" s="43">
        <v>0</v>
      </c>
      <c r="G307" s="44">
        <v>634271.53</v>
      </c>
      <c r="H307" s="44">
        <v>398242.9</v>
      </c>
      <c r="I307" s="44">
        <v>244346.87</v>
      </c>
      <c r="J307" s="44">
        <v>153896.01999999999</v>
      </c>
      <c r="K307" s="45">
        <v>5.0730000000000003E-3</v>
      </c>
      <c r="L307" s="44">
        <v>4520222.9800000004</v>
      </c>
      <c r="M307" s="44">
        <v>18266595.899999999</v>
      </c>
      <c r="N307" s="45">
        <v>0.60209999999999997</v>
      </c>
      <c r="O307" s="45">
        <v>2.5155E-2</v>
      </c>
      <c r="P307" s="45">
        <v>7.4200000000000004E-4</v>
      </c>
    </row>
    <row r="308" spans="1:16" x14ac:dyDescent="0.3">
      <c r="A308" s="43" t="s">
        <v>323</v>
      </c>
      <c r="B308" s="43" t="s">
        <v>324</v>
      </c>
      <c r="C308" s="43">
        <v>27</v>
      </c>
      <c r="D308" s="44">
        <v>30338200</v>
      </c>
      <c r="E308" s="43">
        <v>20</v>
      </c>
      <c r="F308" s="43">
        <v>0</v>
      </c>
      <c r="G308" s="44">
        <v>707435.34</v>
      </c>
      <c r="H308" s="44">
        <v>449511.2</v>
      </c>
      <c r="I308" s="44">
        <v>272840.03000000003</v>
      </c>
      <c r="J308" s="44">
        <v>176671.17</v>
      </c>
      <c r="K308" s="45">
        <v>5.8230000000000001E-3</v>
      </c>
      <c r="L308" s="44">
        <v>4912766.68</v>
      </c>
      <c r="M308" s="44">
        <v>17436829.98</v>
      </c>
      <c r="N308" s="45">
        <v>0.57469999999999999</v>
      </c>
      <c r="O308" s="45">
        <v>2.7820999999999999E-2</v>
      </c>
      <c r="P308" s="45">
        <v>4.9100000000000001E-4</v>
      </c>
    </row>
    <row r="309" spans="1:16" x14ac:dyDescent="0.3">
      <c r="A309" s="43" t="s">
        <v>323</v>
      </c>
      <c r="B309" s="43" t="s">
        <v>324</v>
      </c>
      <c r="C309" s="43">
        <v>27</v>
      </c>
      <c r="D309" s="44">
        <v>30338200</v>
      </c>
      <c r="E309" s="43">
        <v>21</v>
      </c>
      <c r="F309" s="43">
        <v>0</v>
      </c>
      <c r="G309" s="44">
        <v>762168.67</v>
      </c>
      <c r="H309" s="44">
        <v>485318.35</v>
      </c>
      <c r="I309" s="44">
        <v>297254.12</v>
      </c>
      <c r="J309" s="44">
        <v>188064.23</v>
      </c>
      <c r="K309" s="45">
        <v>6.1989999999999996E-3</v>
      </c>
      <c r="L309" s="44">
        <v>5302596.24</v>
      </c>
      <c r="M309" s="44">
        <v>16628208.689999999</v>
      </c>
      <c r="N309" s="45">
        <v>0.54810000000000003</v>
      </c>
      <c r="O309" s="45">
        <v>2.9975999999999999E-2</v>
      </c>
      <c r="P309" s="45">
        <v>4.64E-4</v>
      </c>
    </row>
    <row r="310" spans="1:16" x14ac:dyDescent="0.3">
      <c r="A310" s="43" t="s">
        <v>325</v>
      </c>
      <c r="B310" s="43" t="s">
        <v>326</v>
      </c>
      <c r="C310" s="43">
        <v>27</v>
      </c>
      <c r="D310" s="44">
        <v>28007800</v>
      </c>
      <c r="E310" s="43">
        <v>0</v>
      </c>
      <c r="F310" s="43">
        <v>0</v>
      </c>
      <c r="G310" s="44">
        <v>0</v>
      </c>
      <c r="H310" s="44">
        <v>0</v>
      </c>
      <c r="I310" s="44">
        <v>0</v>
      </c>
      <c r="J310" s="44">
        <v>0</v>
      </c>
      <c r="K310" s="45">
        <v>0</v>
      </c>
      <c r="L310" s="44">
        <v>203159.96</v>
      </c>
      <c r="M310" s="44">
        <v>27804640.039999999</v>
      </c>
      <c r="N310" s="45">
        <v>0.99270000000000003</v>
      </c>
      <c r="O310" s="45">
        <v>1.8079999999999999E-2</v>
      </c>
      <c r="P310" s="45">
        <v>0</v>
      </c>
    </row>
    <row r="311" spans="1:16" x14ac:dyDescent="0.3">
      <c r="A311" s="43" t="s">
        <v>325</v>
      </c>
      <c r="B311" s="43" t="s">
        <v>326</v>
      </c>
      <c r="C311" s="43">
        <v>27</v>
      </c>
      <c r="D311" s="44">
        <v>28007800</v>
      </c>
      <c r="E311" s="43">
        <v>1</v>
      </c>
      <c r="F311" s="43">
        <v>0</v>
      </c>
      <c r="G311" s="44">
        <v>2688.96</v>
      </c>
      <c r="H311" s="44">
        <v>1872.1</v>
      </c>
      <c r="I311" s="44">
        <v>0</v>
      </c>
      <c r="J311" s="44">
        <v>1872.1</v>
      </c>
      <c r="K311" s="45">
        <v>6.7000000000000002E-5</v>
      </c>
      <c r="L311" s="44">
        <v>396042.39</v>
      </c>
      <c r="M311" s="44">
        <v>27272975.050000001</v>
      </c>
      <c r="N311" s="45">
        <v>0.9738</v>
      </c>
      <c r="O311" s="45">
        <v>2.4903999999999999E-2</v>
      </c>
      <c r="P311" s="45">
        <v>5.7000000000000003E-5</v>
      </c>
    </row>
    <row r="312" spans="1:16" x14ac:dyDescent="0.3">
      <c r="A312" s="43" t="s">
        <v>325</v>
      </c>
      <c r="B312" s="43" t="s">
        <v>326</v>
      </c>
      <c r="C312" s="43">
        <v>27</v>
      </c>
      <c r="D312" s="44">
        <v>28007800</v>
      </c>
      <c r="E312" s="43">
        <v>2</v>
      </c>
      <c r="F312" s="43">
        <v>0</v>
      </c>
      <c r="G312" s="44">
        <v>7190.28</v>
      </c>
      <c r="H312" s="44">
        <v>5142.49</v>
      </c>
      <c r="I312" s="44">
        <v>0</v>
      </c>
      <c r="J312" s="44">
        <v>5142.49</v>
      </c>
      <c r="K312" s="45">
        <v>1.84E-4</v>
      </c>
      <c r="L312" s="44">
        <v>564356.31999999995</v>
      </c>
      <c r="M312" s="44">
        <v>26764066.190000001</v>
      </c>
      <c r="N312" s="45">
        <v>0.9556</v>
      </c>
      <c r="O312" s="45">
        <v>2.5239999999999999E-2</v>
      </c>
      <c r="P312" s="45">
        <v>1.02E-4</v>
      </c>
    </row>
    <row r="313" spans="1:16" x14ac:dyDescent="0.3">
      <c r="A313" s="43" t="s">
        <v>325</v>
      </c>
      <c r="B313" s="43" t="s">
        <v>326</v>
      </c>
      <c r="C313" s="43">
        <v>27</v>
      </c>
      <c r="D313" s="44">
        <v>28007800</v>
      </c>
      <c r="E313" s="43">
        <v>3</v>
      </c>
      <c r="F313" s="43">
        <v>0</v>
      </c>
      <c r="G313" s="44">
        <v>12995.12</v>
      </c>
      <c r="H313" s="44">
        <v>9181.16</v>
      </c>
      <c r="I313" s="44">
        <v>0</v>
      </c>
      <c r="J313" s="44">
        <v>9181.16</v>
      </c>
      <c r="K313" s="45">
        <v>3.28E-4</v>
      </c>
      <c r="L313" s="44">
        <v>736699.96</v>
      </c>
      <c r="M313" s="44">
        <v>26249824.120000001</v>
      </c>
      <c r="N313" s="45">
        <v>0.93720000000000003</v>
      </c>
      <c r="O313" s="45">
        <v>1.7260999999999999E-2</v>
      </c>
      <c r="P313" s="45">
        <v>1.44E-4</v>
      </c>
    </row>
    <row r="314" spans="1:16" x14ac:dyDescent="0.3">
      <c r="A314" s="43" t="s">
        <v>325</v>
      </c>
      <c r="B314" s="43" t="s">
        <v>326</v>
      </c>
      <c r="C314" s="43">
        <v>27</v>
      </c>
      <c r="D314" s="44">
        <v>28007800</v>
      </c>
      <c r="E314" s="43">
        <v>4</v>
      </c>
      <c r="F314" s="43">
        <v>0</v>
      </c>
      <c r="G314" s="44">
        <v>22294.22</v>
      </c>
      <c r="H314" s="44">
        <v>15257.32</v>
      </c>
      <c r="I314" s="44">
        <v>3265.56</v>
      </c>
      <c r="J314" s="44">
        <v>11991.76</v>
      </c>
      <c r="K314" s="45">
        <v>4.28E-4</v>
      </c>
      <c r="L314" s="44">
        <v>907561.69</v>
      </c>
      <c r="M314" s="44">
        <v>25733569.690000001</v>
      </c>
      <c r="N314" s="45">
        <v>0.91879999999999995</v>
      </c>
      <c r="O314" s="45">
        <v>2.4479999999999998E-2</v>
      </c>
      <c r="P314" s="45">
        <v>1.01E-4</v>
      </c>
    </row>
    <row r="315" spans="1:16" x14ac:dyDescent="0.3">
      <c r="A315" s="43" t="s">
        <v>325</v>
      </c>
      <c r="B315" s="43" t="s">
        <v>326</v>
      </c>
      <c r="C315" s="43">
        <v>27</v>
      </c>
      <c r="D315" s="44">
        <v>28007800</v>
      </c>
      <c r="E315" s="43">
        <v>5</v>
      </c>
      <c r="F315" s="43">
        <v>0</v>
      </c>
      <c r="G315" s="44">
        <v>35856.22</v>
      </c>
      <c r="H315" s="44">
        <v>23121.25</v>
      </c>
      <c r="I315" s="44">
        <v>8233.94</v>
      </c>
      <c r="J315" s="44">
        <v>14887.31</v>
      </c>
      <c r="K315" s="45">
        <v>5.3200000000000003E-4</v>
      </c>
      <c r="L315" s="44">
        <v>1116964.76</v>
      </c>
      <c r="M315" s="44">
        <v>25174511.010000002</v>
      </c>
      <c r="N315" s="45">
        <v>0.89880000000000004</v>
      </c>
      <c r="O315" s="45">
        <v>2.5576000000000002E-2</v>
      </c>
      <c r="P315" s="45">
        <v>1.25E-4</v>
      </c>
    </row>
    <row r="316" spans="1:16" x14ac:dyDescent="0.3">
      <c r="A316" s="43" t="s">
        <v>325</v>
      </c>
      <c r="B316" s="43" t="s">
        <v>326</v>
      </c>
      <c r="C316" s="43">
        <v>27</v>
      </c>
      <c r="D316" s="44">
        <v>28007800</v>
      </c>
      <c r="E316" s="43">
        <v>6</v>
      </c>
      <c r="F316" s="43">
        <v>0</v>
      </c>
      <c r="G316" s="44">
        <v>51234.18</v>
      </c>
      <c r="H316" s="44">
        <v>32067.68</v>
      </c>
      <c r="I316" s="44">
        <v>14888.14</v>
      </c>
      <c r="J316" s="44">
        <v>17179.55</v>
      </c>
      <c r="K316" s="45">
        <v>6.1300000000000005E-4</v>
      </c>
      <c r="L316" s="44">
        <v>1367962.09</v>
      </c>
      <c r="M316" s="44">
        <v>24572042.129999999</v>
      </c>
      <c r="N316" s="45">
        <v>0.87729999999999997</v>
      </c>
      <c r="O316" s="45">
        <v>2.6061999999999998E-2</v>
      </c>
      <c r="P316" s="45">
        <v>1.4300000000000001E-4</v>
      </c>
    </row>
    <row r="317" spans="1:16" x14ac:dyDescent="0.3">
      <c r="A317" s="43" t="s">
        <v>325</v>
      </c>
      <c r="B317" s="43" t="s">
        <v>326</v>
      </c>
      <c r="C317" s="43">
        <v>27</v>
      </c>
      <c r="D317" s="44">
        <v>28007800</v>
      </c>
      <c r="E317" s="43">
        <v>7</v>
      </c>
      <c r="F317" s="43">
        <v>0</v>
      </c>
      <c r="G317" s="44">
        <v>72951.47</v>
      </c>
      <c r="H317" s="44">
        <v>45078.38</v>
      </c>
      <c r="I317" s="44">
        <v>21884.5</v>
      </c>
      <c r="J317" s="44">
        <v>23193.87</v>
      </c>
      <c r="K317" s="45">
        <v>8.2799999999999996E-4</v>
      </c>
      <c r="L317" s="44">
        <v>1503829.79</v>
      </c>
      <c r="M317" s="44">
        <v>24078363.539999999</v>
      </c>
      <c r="N317" s="45">
        <v>0.85970000000000002</v>
      </c>
      <c r="O317" s="45">
        <v>1.9429999999999999E-2</v>
      </c>
      <c r="P317" s="45">
        <v>2.4399999999999999E-4</v>
      </c>
    </row>
    <row r="318" spans="1:16" x14ac:dyDescent="0.3">
      <c r="A318" s="43" t="s">
        <v>325</v>
      </c>
      <c r="B318" s="43" t="s">
        <v>326</v>
      </c>
      <c r="C318" s="43">
        <v>27</v>
      </c>
      <c r="D318" s="44">
        <v>28007800</v>
      </c>
      <c r="E318" s="43">
        <v>8</v>
      </c>
      <c r="F318" s="43">
        <v>0</v>
      </c>
      <c r="G318" s="44">
        <v>94082.76</v>
      </c>
      <c r="H318" s="44">
        <v>60682.239999999998</v>
      </c>
      <c r="I318" s="44">
        <v>30485.69</v>
      </c>
      <c r="J318" s="44">
        <v>30196.55</v>
      </c>
      <c r="K318" s="45">
        <v>1.078E-3</v>
      </c>
      <c r="L318" s="44">
        <v>1660346.14</v>
      </c>
      <c r="M318" s="44">
        <v>23564622.289999999</v>
      </c>
      <c r="N318" s="45">
        <v>0.84140000000000004</v>
      </c>
      <c r="O318" s="45">
        <v>2.1891000000000001E-2</v>
      </c>
      <c r="P318" s="45">
        <v>2.4499999999999999E-4</v>
      </c>
    </row>
    <row r="319" spans="1:16" x14ac:dyDescent="0.3">
      <c r="A319" s="43" t="s">
        <v>325</v>
      </c>
      <c r="B319" s="43" t="s">
        <v>326</v>
      </c>
      <c r="C319" s="43">
        <v>27</v>
      </c>
      <c r="D319" s="44">
        <v>28007800</v>
      </c>
      <c r="E319" s="43">
        <v>9</v>
      </c>
      <c r="F319" s="43">
        <v>0</v>
      </c>
      <c r="G319" s="44">
        <v>120635.49</v>
      </c>
      <c r="H319" s="44">
        <v>77006.58</v>
      </c>
      <c r="I319" s="44">
        <v>41695.26</v>
      </c>
      <c r="J319" s="44">
        <v>35311.32</v>
      </c>
      <c r="K319" s="45">
        <v>1.261E-3</v>
      </c>
      <c r="L319" s="44">
        <v>1842776.5</v>
      </c>
      <c r="M319" s="44">
        <v>23019545.609999999</v>
      </c>
      <c r="N319" s="45">
        <v>0.82189999999999996</v>
      </c>
      <c r="O319" s="45">
        <v>2.3517E-2</v>
      </c>
      <c r="P319" s="45">
        <v>2.12E-4</v>
      </c>
    </row>
    <row r="320" spans="1:16" x14ac:dyDescent="0.3">
      <c r="A320" s="43" t="s">
        <v>325</v>
      </c>
      <c r="B320" s="43" t="s">
        <v>326</v>
      </c>
      <c r="C320" s="43">
        <v>27</v>
      </c>
      <c r="D320" s="44">
        <v>28007800</v>
      </c>
      <c r="E320" s="43">
        <v>10</v>
      </c>
      <c r="F320" s="43">
        <v>0</v>
      </c>
      <c r="G320" s="44">
        <v>144758.07</v>
      </c>
      <c r="H320" s="44">
        <v>91888.87</v>
      </c>
      <c r="I320" s="44">
        <v>50502.19</v>
      </c>
      <c r="J320" s="44">
        <v>41386.69</v>
      </c>
      <c r="K320" s="45">
        <v>1.4779999999999999E-3</v>
      </c>
      <c r="L320" s="44">
        <v>2067762.52</v>
      </c>
      <c r="M320" s="44">
        <v>22434343.420000002</v>
      </c>
      <c r="N320" s="45">
        <v>0.80100000000000005</v>
      </c>
      <c r="O320" s="45">
        <v>1.9127000000000002E-2</v>
      </c>
      <c r="P320" s="45">
        <v>2.2100000000000001E-4</v>
      </c>
    </row>
    <row r="321" spans="1:16" x14ac:dyDescent="0.3">
      <c r="A321" s="43" t="s">
        <v>325</v>
      </c>
      <c r="B321" s="43" t="s">
        <v>326</v>
      </c>
      <c r="C321" s="43">
        <v>27</v>
      </c>
      <c r="D321" s="44">
        <v>28007800</v>
      </c>
      <c r="E321" s="43">
        <v>11</v>
      </c>
      <c r="F321" s="43">
        <v>0</v>
      </c>
      <c r="G321" s="44">
        <v>170607.85</v>
      </c>
      <c r="H321" s="44">
        <v>110176.52</v>
      </c>
      <c r="I321" s="44">
        <v>59923.8</v>
      </c>
      <c r="J321" s="44">
        <v>50252.72</v>
      </c>
      <c r="K321" s="45">
        <v>1.794E-3</v>
      </c>
      <c r="L321" s="44">
        <v>2249609.63</v>
      </c>
      <c r="M321" s="44">
        <v>21890552.91</v>
      </c>
      <c r="N321" s="45">
        <v>0.78159999999999996</v>
      </c>
      <c r="O321" s="45">
        <v>2.1964000000000001E-2</v>
      </c>
      <c r="P321" s="45">
        <v>2.8699999999999998E-4</v>
      </c>
    </row>
    <row r="322" spans="1:16" x14ac:dyDescent="0.3">
      <c r="A322" s="43" t="s">
        <v>325</v>
      </c>
      <c r="B322" s="43" t="s">
        <v>326</v>
      </c>
      <c r="C322" s="43">
        <v>27</v>
      </c>
      <c r="D322" s="44">
        <v>28007800</v>
      </c>
      <c r="E322" s="43">
        <v>12</v>
      </c>
      <c r="F322" s="43">
        <v>0</v>
      </c>
      <c r="G322" s="44">
        <v>214519.16</v>
      </c>
      <c r="H322" s="44">
        <v>138344.34</v>
      </c>
      <c r="I322" s="44">
        <v>77387.72</v>
      </c>
      <c r="J322" s="44">
        <v>60956.62</v>
      </c>
      <c r="K322" s="45">
        <v>2.176E-3</v>
      </c>
      <c r="L322" s="44">
        <v>2479425.7999999998</v>
      </c>
      <c r="M322" s="44">
        <v>21280731.84</v>
      </c>
      <c r="N322" s="45">
        <v>0.75980000000000003</v>
      </c>
      <c r="O322" s="45">
        <v>2.1763999999999999E-2</v>
      </c>
      <c r="P322" s="45">
        <v>5.4199999999999995E-4</v>
      </c>
    </row>
    <row r="323" spans="1:16" x14ac:dyDescent="0.3">
      <c r="A323" s="43" t="s">
        <v>325</v>
      </c>
      <c r="B323" s="43" t="s">
        <v>326</v>
      </c>
      <c r="C323" s="43">
        <v>27</v>
      </c>
      <c r="D323" s="44">
        <v>28007800</v>
      </c>
      <c r="E323" s="43">
        <v>13</v>
      </c>
      <c r="F323" s="43">
        <v>0</v>
      </c>
      <c r="G323" s="44">
        <v>242964.03</v>
      </c>
      <c r="H323" s="44">
        <v>159036.98000000001</v>
      </c>
      <c r="I323" s="44">
        <v>91443.65</v>
      </c>
      <c r="J323" s="44">
        <v>67593.320000000007</v>
      </c>
      <c r="K323" s="45">
        <v>2.4130000000000002E-3</v>
      </c>
      <c r="L323" s="44">
        <v>2680675.37</v>
      </c>
      <c r="M323" s="44">
        <v>20714943.789999999</v>
      </c>
      <c r="N323" s="45">
        <v>0.73960000000000004</v>
      </c>
      <c r="O323" s="45">
        <v>2.8618999999999999E-2</v>
      </c>
      <c r="P323" s="45">
        <v>1.44E-4</v>
      </c>
    </row>
    <row r="324" spans="1:16" x14ac:dyDescent="0.3">
      <c r="A324" s="43" t="s">
        <v>325</v>
      </c>
      <c r="B324" s="43" t="s">
        <v>326</v>
      </c>
      <c r="C324" s="43">
        <v>27</v>
      </c>
      <c r="D324" s="44">
        <v>28007800</v>
      </c>
      <c r="E324" s="43">
        <v>14</v>
      </c>
      <c r="F324" s="43">
        <v>0</v>
      </c>
      <c r="G324" s="44">
        <v>280519.90000000002</v>
      </c>
      <c r="H324" s="44">
        <v>184327.82</v>
      </c>
      <c r="I324" s="44">
        <v>108330.21</v>
      </c>
      <c r="J324" s="44">
        <v>75997.61</v>
      </c>
      <c r="K324" s="45">
        <v>2.7130000000000001E-3</v>
      </c>
      <c r="L324" s="44">
        <v>2824632.47</v>
      </c>
      <c r="M324" s="44">
        <v>20197337.23</v>
      </c>
      <c r="N324" s="45">
        <v>0.72109999999999996</v>
      </c>
      <c r="O324" s="45">
        <v>2.4597000000000001E-2</v>
      </c>
      <c r="P324" s="45">
        <v>2.04E-4</v>
      </c>
    </row>
    <row r="325" spans="1:16" x14ac:dyDescent="0.3">
      <c r="A325" s="43" t="s">
        <v>325</v>
      </c>
      <c r="B325" s="43" t="s">
        <v>326</v>
      </c>
      <c r="C325" s="43">
        <v>27</v>
      </c>
      <c r="D325" s="44">
        <v>28007800</v>
      </c>
      <c r="E325" s="43">
        <v>15</v>
      </c>
      <c r="F325" s="43">
        <v>0</v>
      </c>
      <c r="G325" s="44">
        <v>318496.21999999997</v>
      </c>
      <c r="H325" s="44">
        <v>211044.18</v>
      </c>
      <c r="I325" s="44">
        <v>122423.93</v>
      </c>
      <c r="J325" s="44">
        <v>88620.25</v>
      </c>
      <c r="K325" s="45">
        <v>3.1640000000000001E-3</v>
      </c>
      <c r="L325" s="44">
        <v>3020401.09</v>
      </c>
      <c r="M325" s="44">
        <v>19627498.690000001</v>
      </c>
      <c r="N325" s="45">
        <v>0.70079999999999998</v>
      </c>
      <c r="O325" s="45">
        <v>2.7786000000000002E-2</v>
      </c>
      <c r="P325" s="45">
        <v>3.6099999999999999E-4</v>
      </c>
    </row>
    <row r="326" spans="1:16" x14ac:dyDescent="0.3">
      <c r="A326" s="43" t="s">
        <v>325</v>
      </c>
      <c r="B326" s="43" t="s">
        <v>326</v>
      </c>
      <c r="C326" s="43">
        <v>27</v>
      </c>
      <c r="D326" s="44">
        <v>28007800</v>
      </c>
      <c r="E326" s="43">
        <v>16</v>
      </c>
      <c r="F326" s="43">
        <v>0</v>
      </c>
      <c r="G326" s="44">
        <v>378882.62</v>
      </c>
      <c r="H326" s="44">
        <v>247126.06</v>
      </c>
      <c r="I326" s="44">
        <v>145861.09</v>
      </c>
      <c r="J326" s="44">
        <v>101264.96000000001</v>
      </c>
      <c r="K326" s="45">
        <v>3.6159999999999999E-3</v>
      </c>
      <c r="L326" s="44">
        <v>3289484.07</v>
      </c>
      <c r="M326" s="44">
        <v>18961935.710000001</v>
      </c>
      <c r="N326" s="45">
        <v>0.67700000000000005</v>
      </c>
      <c r="O326" s="45">
        <v>2.7560000000000001E-2</v>
      </c>
      <c r="P326" s="45">
        <v>7.4299999999999995E-4</v>
      </c>
    </row>
    <row r="327" spans="1:16" x14ac:dyDescent="0.3">
      <c r="A327" s="43" t="s">
        <v>325</v>
      </c>
      <c r="B327" s="43" t="s">
        <v>326</v>
      </c>
      <c r="C327" s="43">
        <v>27</v>
      </c>
      <c r="D327" s="44">
        <v>28007800</v>
      </c>
      <c r="E327" s="43">
        <v>17</v>
      </c>
      <c r="F327" s="43">
        <v>0</v>
      </c>
      <c r="G327" s="44">
        <v>417212.64</v>
      </c>
      <c r="H327" s="44">
        <v>269615.7</v>
      </c>
      <c r="I327" s="44">
        <v>160050.57999999999</v>
      </c>
      <c r="J327" s="44">
        <v>109565.12</v>
      </c>
      <c r="K327" s="45">
        <v>3.9119999999999997E-3</v>
      </c>
      <c r="L327" s="44">
        <v>3540216.78</v>
      </c>
      <c r="M327" s="44">
        <v>18336779.379999999</v>
      </c>
      <c r="N327" s="45">
        <v>0.65469999999999995</v>
      </c>
      <c r="O327" s="45">
        <v>2.9017000000000001E-2</v>
      </c>
      <c r="P327" s="45">
        <v>3.5399999999999999E-4</v>
      </c>
    </row>
    <row r="328" spans="1:16" x14ac:dyDescent="0.3">
      <c r="A328" s="43" t="s">
        <v>325</v>
      </c>
      <c r="B328" s="43" t="s">
        <v>326</v>
      </c>
      <c r="C328" s="43">
        <v>27</v>
      </c>
      <c r="D328" s="44">
        <v>28007800</v>
      </c>
      <c r="E328" s="43">
        <v>18</v>
      </c>
      <c r="F328" s="43">
        <v>0</v>
      </c>
      <c r="G328" s="44">
        <v>462865.5</v>
      </c>
      <c r="H328" s="44">
        <v>299065.45</v>
      </c>
      <c r="I328" s="44">
        <v>180672.9</v>
      </c>
      <c r="J328" s="44">
        <v>118392.55</v>
      </c>
      <c r="K328" s="45">
        <v>4.2269999999999999E-3</v>
      </c>
      <c r="L328" s="44">
        <v>3750729.08</v>
      </c>
      <c r="M328" s="44">
        <v>17744520.620000001</v>
      </c>
      <c r="N328" s="45">
        <v>0.63360000000000005</v>
      </c>
      <c r="O328" s="45">
        <v>2.7393000000000001E-2</v>
      </c>
      <c r="P328" s="45">
        <v>2.1599999999999999E-4</v>
      </c>
    </row>
    <row r="329" spans="1:16" x14ac:dyDescent="0.3">
      <c r="A329" s="43" t="s">
        <v>327</v>
      </c>
      <c r="B329" s="43" t="s">
        <v>328</v>
      </c>
      <c r="C329" s="43">
        <v>41</v>
      </c>
      <c r="D329" s="44">
        <v>40341000</v>
      </c>
      <c r="E329" s="43">
        <v>0</v>
      </c>
      <c r="F329" s="43">
        <v>0</v>
      </c>
      <c r="G329" s="44">
        <v>0</v>
      </c>
      <c r="H329" s="44">
        <v>0</v>
      </c>
      <c r="I329" s="44">
        <v>0</v>
      </c>
      <c r="J329" s="44">
        <v>0</v>
      </c>
      <c r="K329" s="45">
        <v>0</v>
      </c>
      <c r="L329" s="44">
        <v>157484.07</v>
      </c>
      <c r="M329" s="44">
        <v>40183515.93</v>
      </c>
      <c r="N329" s="45">
        <v>0.99609999999999999</v>
      </c>
      <c r="O329" s="45">
        <v>2.2450999999999999E-2</v>
      </c>
      <c r="P329" s="45">
        <v>0</v>
      </c>
    </row>
    <row r="330" spans="1:16" x14ac:dyDescent="0.3">
      <c r="A330" s="43" t="s">
        <v>327</v>
      </c>
      <c r="B330" s="43" t="s">
        <v>328</v>
      </c>
      <c r="C330" s="43">
        <v>41</v>
      </c>
      <c r="D330" s="44">
        <v>40341000</v>
      </c>
      <c r="E330" s="43">
        <v>1</v>
      </c>
      <c r="F330" s="43">
        <v>0</v>
      </c>
      <c r="G330" s="44">
        <v>3690.16</v>
      </c>
      <c r="H330" s="44">
        <v>2437.94</v>
      </c>
      <c r="I330" s="44">
        <v>0</v>
      </c>
      <c r="J330" s="44">
        <v>2437.94</v>
      </c>
      <c r="K330" s="45">
        <v>6.0000000000000002E-5</v>
      </c>
      <c r="L330" s="44">
        <v>345234.44</v>
      </c>
      <c r="M330" s="44">
        <v>39507983.390000001</v>
      </c>
      <c r="N330" s="45">
        <v>0.97940000000000005</v>
      </c>
      <c r="O330" s="45">
        <v>2.1010999999999998E-2</v>
      </c>
      <c r="P330" s="45">
        <v>6.0000000000000002E-5</v>
      </c>
    </row>
    <row r="331" spans="1:16" x14ac:dyDescent="0.3">
      <c r="A331" s="43" t="s">
        <v>327</v>
      </c>
      <c r="B331" s="43" t="s">
        <v>328</v>
      </c>
      <c r="C331" s="43">
        <v>41</v>
      </c>
      <c r="D331" s="44">
        <v>40341000</v>
      </c>
      <c r="E331" s="43">
        <v>2</v>
      </c>
      <c r="F331" s="43">
        <v>0</v>
      </c>
      <c r="G331" s="44">
        <v>9421.43</v>
      </c>
      <c r="H331" s="44">
        <v>5685.06</v>
      </c>
      <c r="I331" s="44">
        <v>0</v>
      </c>
      <c r="J331" s="44">
        <v>5685.06</v>
      </c>
      <c r="K331" s="45">
        <v>1.4100000000000001E-4</v>
      </c>
      <c r="L331" s="44">
        <v>468267.91</v>
      </c>
      <c r="M331" s="44">
        <v>38895126.649999999</v>
      </c>
      <c r="N331" s="45">
        <v>0.96419999999999995</v>
      </c>
      <c r="O331" s="45">
        <v>2.2003999999999999E-2</v>
      </c>
      <c r="P331" s="45">
        <v>9.2999999999999997E-5</v>
      </c>
    </row>
    <row r="332" spans="1:16" x14ac:dyDescent="0.3">
      <c r="A332" s="43" t="s">
        <v>327</v>
      </c>
      <c r="B332" s="43" t="s">
        <v>328</v>
      </c>
      <c r="C332" s="43">
        <v>41</v>
      </c>
      <c r="D332" s="44">
        <v>40341000</v>
      </c>
      <c r="E332" s="43">
        <v>3</v>
      </c>
      <c r="F332" s="43">
        <v>0</v>
      </c>
      <c r="G332" s="44">
        <v>16684.34</v>
      </c>
      <c r="H332" s="44">
        <v>11001.5</v>
      </c>
      <c r="I332" s="44">
        <v>0</v>
      </c>
      <c r="J332" s="44">
        <v>11001.5</v>
      </c>
      <c r="K332" s="45">
        <v>2.7300000000000002E-4</v>
      </c>
      <c r="L332" s="44">
        <v>633878.89</v>
      </c>
      <c r="M332" s="44">
        <v>38238160.770000003</v>
      </c>
      <c r="N332" s="45">
        <v>0.94789999999999996</v>
      </c>
      <c r="O332" s="45">
        <v>2.1534999999999999E-2</v>
      </c>
      <c r="P332" s="45">
        <v>1.02E-4</v>
      </c>
    </row>
    <row r="333" spans="1:16" x14ac:dyDescent="0.3">
      <c r="A333" s="43" t="s">
        <v>327</v>
      </c>
      <c r="B333" s="43" t="s">
        <v>328</v>
      </c>
      <c r="C333" s="43">
        <v>41</v>
      </c>
      <c r="D333" s="44">
        <v>40341000</v>
      </c>
      <c r="E333" s="43">
        <v>4</v>
      </c>
      <c r="F333" s="43">
        <v>0</v>
      </c>
      <c r="G333" s="44">
        <v>32990.17</v>
      </c>
      <c r="H333" s="44">
        <v>22560.89</v>
      </c>
      <c r="I333" s="44">
        <v>6322.2</v>
      </c>
      <c r="J333" s="44">
        <v>16238.69</v>
      </c>
      <c r="K333" s="45">
        <v>4.0299999999999998E-4</v>
      </c>
      <c r="L333" s="44">
        <v>816550.19</v>
      </c>
      <c r="M333" s="44">
        <v>37555091.640000001</v>
      </c>
      <c r="N333" s="45">
        <v>0.93089999999999995</v>
      </c>
      <c r="O333" s="45">
        <v>2.1603000000000001E-2</v>
      </c>
      <c r="P333" s="45">
        <v>9.7999999999999997E-5</v>
      </c>
    </row>
    <row r="334" spans="1:16" x14ac:dyDescent="0.3">
      <c r="A334" s="43" t="s">
        <v>327</v>
      </c>
      <c r="B334" s="43" t="s">
        <v>328</v>
      </c>
      <c r="C334" s="43">
        <v>41</v>
      </c>
      <c r="D334" s="44">
        <v>40341000</v>
      </c>
      <c r="E334" s="43">
        <v>5</v>
      </c>
      <c r="F334" s="43">
        <v>0</v>
      </c>
      <c r="G334" s="44">
        <v>52288.67</v>
      </c>
      <c r="H334" s="44">
        <v>34783.910000000003</v>
      </c>
      <c r="I334" s="44">
        <v>13446.9</v>
      </c>
      <c r="J334" s="44">
        <v>21337</v>
      </c>
      <c r="K334" s="45">
        <v>5.2899999999999996E-4</v>
      </c>
      <c r="L334" s="44">
        <v>1012113.04</v>
      </c>
      <c r="M334" s="44">
        <v>36856138.289999999</v>
      </c>
      <c r="N334" s="45">
        <v>0.91359999999999997</v>
      </c>
      <c r="O334" s="45">
        <v>1.6823999999999999E-2</v>
      </c>
      <c r="P334" s="45">
        <v>1.1E-4</v>
      </c>
    </row>
    <row r="335" spans="1:16" x14ac:dyDescent="0.3">
      <c r="A335" s="43" t="s">
        <v>327</v>
      </c>
      <c r="B335" s="43" t="s">
        <v>328</v>
      </c>
      <c r="C335" s="43">
        <v>41</v>
      </c>
      <c r="D335" s="44">
        <v>40341000</v>
      </c>
      <c r="E335" s="43">
        <v>6</v>
      </c>
      <c r="F335" s="43">
        <v>0</v>
      </c>
      <c r="G335" s="44">
        <v>68274.69</v>
      </c>
      <c r="H335" s="44">
        <v>46312.36</v>
      </c>
      <c r="I335" s="44">
        <v>20209.16</v>
      </c>
      <c r="J335" s="44">
        <v>26103.200000000001</v>
      </c>
      <c r="K335" s="45">
        <v>6.4700000000000001E-4</v>
      </c>
      <c r="L335" s="44">
        <v>1262812.8799999999</v>
      </c>
      <c r="M335" s="44">
        <v>36105360.43</v>
      </c>
      <c r="N335" s="45">
        <v>0.89500000000000002</v>
      </c>
      <c r="O335" s="45">
        <v>2.6314000000000001E-2</v>
      </c>
      <c r="P335" s="45">
        <v>1.16E-4</v>
      </c>
    </row>
    <row r="336" spans="1:16" x14ac:dyDescent="0.3">
      <c r="A336" s="43" t="s">
        <v>327</v>
      </c>
      <c r="B336" s="43" t="s">
        <v>328</v>
      </c>
      <c r="C336" s="43">
        <v>41</v>
      </c>
      <c r="D336" s="44">
        <v>40341000</v>
      </c>
      <c r="E336" s="43">
        <v>7</v>
      </c>
      <c r="F336" s="43">
        <v>0</v>
      </c>
      <c r="G336" s="44">
        <v>92018.91</v>
      </c>
      <c r="H336" s="44">
        <v>60951.9</v>
      </c>
      <c r="I336" s="44">
        <v>29686.78</v>
      </c>
      <c r="J336" s="44">
        <v>31265.119999999999</v>
      </c>
      <c r="K336" s="45">
        <v>7.7499999999999997E-4</v>
      </c>
      <c r="L336" s="44">
        <v>1414879.88</v>
      </c>
      <c r="M336" s="44">
        <v>35445457.210000001</v>
      </c>
      <c r="N336" s="45">
        <v>0.87860000000000005</v>
      </c>
      <c r="O336" s="45">
        <v>1.9394999999999999E-2</v>
      </c>
      <c r="P336" s="45">
        <v>1.9799999999999999E-4</v>
      </c>
    </row>
    <row r="337" spans="1:16" x14ac:dyDescent="0.3">
      <c r="A337" s="43" t="s">
        <v>327</v>
      </c>
      <c r="B337" s="43" t="s">
        <v>328</v>
      </c>
      <c r="C337" s="43">
        <v>41</v>
      </c>
      <c r="D337" s="44">
        <v>40341000</v>
      </c>
      <c r="E337" s="43">
        <v>8</v>
      </c>
      <c r="F337" s="43">
        <v>0</v>
      </c>
      <c r="G337" s="44">
        <v>128674.95</v>
      </c>
      <c r="H337" s="44">
        <v>86177.66</v>
      </c>
      <c r="I337" s="44">
        <v>44887.199999999997</v>
      </c>
      <c r="J337" s="44">
        <v>41290.46</v>
      </c>
      <c r="K337" s="45">
        <v>1.024E-3</v>
      </c>
      <c r="L337" s="44">
        <v>1589752.86</v>
      </c>
      <c r="M337" s="44">
        <v>34749836.189999998</v>
      </c>
      <c r="N337" s="45">
        <v>0.86140000000000005</v>
      </c>
      <c r="O337" s="45">
        <v>2.4773E-2</v>
      </c>
      <c r="P337" s="45">
        <v>2.72E-4</v>
      </c>
    </row>
    <row r="338" spans="1:16" x14ac:dyDescent="0.3">
      <c r="A338" s="43" t="s">
        <v>327</v>
      </c>
      <c r="B338" s="43" t="s">
        <v>328</v>
      </c>
      <c r="C338" s="43">
        <v>41</v>
      </c>
      <c r="D338" s="44">
        <v>40341000</v>
      </c>
      <c r="E338" s="43">
        <v>9</v>
      </c>
      <c r="F338" s="43">
        <v>0</v>
      </c>
      <c r="G338" s="44">
        <v>160775.79999999999</v>
      </c>
      <c r="H338" s="44">
        <v>108988.65</v>
      </c>
      <c r="I338" s="44">
        <v>58539.93</v>
      </c>
      <c r="J338" s="44">
        <v>50448.72</v>
      </c>
      <c r="K338" s="45">
        <v>1.2509999999999999E-3</v>
      </c>
      <c r="L338" s="44">
        <v>1942682.28</v>
      </c>
      <c r="M338" s="44">
        <v>33880713.909999996</v>
      </c>
      <c r="N338" s="45">
        <v>0.83989999999999998</v>
      </c>
      <c r="O338" s="45">
        <v>2.1644E-2</v>
      </c>
      <c r="P338" s="45">
        <v>1.06E-4</v>
      </c>
    </row>
    <row r="339" spans="1:16" x14ac:dyDescent="0.3">
      <c r="A339" s="43" t="s">
        <v>327</v>
      </c>
      <c r="B339" s="43" t="s">
        <v>328</v>
      </c>
      <c r="C339" s="43">
        <v>41</v>
      </c>
      <c r="D339" s="44">
        <v>40341000</v>
      </c>
      <c r="E339" s="43">
        <v>10</v>
      </c>
      <c r="F339" s="43">
        <v>0</v>
      </c>
      <c r="G339" s="44">
        <v>212762</v>
      </c>
      <c r="H339" s="44">
        <v>145094.68</v>
      </c>
      <c r="I339" s="44">
        <v>84005.39</v>
      </c>
      <c r="J339" s="44">
        <v>61089.29</v>
      </c>
      <c r="K339" s="45">
        <v>1.5139999999999999E-3</v>
      </c>
      <c r="L339" s="44">
        <v>2394200.41</v>
      </c>
      <c r="M339" s="44">
        <v>32893117.579999998</v>
      </c>
      <c r="N339" s="45">
        <v>0.81540000000000001</v>
      </c>
      <c r="O339" s="45">
        <v>2.6831000000000001E-2</v>
      </c>
      <c r="P339" s="45">
        <v>2.4499999999999999E-4</v>
      </c>
    </row>
    <row r="340" spans="1:16" x14ac:dyDescent="0.3">
      <c r="A340" s="43" t="s">
        <v>327</v>
      </c>
      <c r="B340" s="43" t="s">
        <v>328</v>
      </c>
      <c r="C340" s="43">
        <v>41</v>
      </c>
      <c r="D340" s="44">
        <v>40341000</v>
      </c>
      <c r="E340" s="43">
        <v>11</v>
      </c>
      <c r="F340" s="43">
        <v>0</v>
      </c>
      <c r="G340" s="44">
        <v>262403.32</v>
      </c>
      <c r="H340" s="44">
        <v>176904.72</v>
      </c>
      <c r="I340" s="44">
        <v>107444.98</v>
      </c>
      <c r="J340" s="44">
        <v>69459.740000000005</v>
      </c>
      <c r="K340" s="45">
        <v>1.722E-3</v>
      </c>
      <c r="L340" s="44">
        <v>2763828.58</v>
      </c>
      <c r="M340" s="44">
        <v>31989756.09</v>
      </c>
      <c r="N340" s="45">
        <v>0.79300000000000004</v>
      </c>
      <c r="O340" s="45">
        <v>2.7414000000000001E-2</v>
      </c>
      <c r="P340" s="45">
        <v>2.31E-4</v>
      </c>
    </row>
    <row r="341" spans="1:16" x14ac:dyDescent="0.3">
      <c r="A341" s="43" t="s">
        <v>327</v>
      </c>
      <c r="B341" s="43" t="s">
        <v>328</v>
      </c>
      <c r="C341" s="43">
        <v>41</v>
      </c>
      <c r="D341" s="44">
        <v>40341000</v>
      </c>
      <c r="E341" s="43">
        <v>12</v>
      </c>
      <c r="F341" s="43">
        <v>0</v>
      </c>
      <c r="G341" s="44">
        <v>300404.77</v>
      </c>
      <c r="H341" s="44">
        <v>204967.98</v>
      </c>
      <c r="I341" s="44">
        <v>120231.65</v>
      </c>
      <c r="J341" s="44">
        <v>84736.320000000007</v>
      </c>
      <c r="K341" s="45">
        <v>2.101E-3</v>
      </c>
      <c r="L341" s="44">
        <v>3009375.33</v>
      </c>
      <c r="M341" s="44">
        <v>31222115.899999999</v>
      </c>
      <c r="N341" s="45">
        <v>0.77400000000000002</v>
      </c>
      <c r="O341" s="45">
        <v>2.2707999999999999E-2</v>
      </c>
      <c r="P341" s="45">
        <v>2.9100000000000003E-4</v>
      </c>
    </row>
    <row r="342" spans="1:16" x14ac:dyDescent="0.3">
      <c r="A342" s="43" t="s">
        <v>327</v>
      </c>
      <c r="B342" s="43" t="s">
        <v>328</v>
      </c>
      <c r="C342" s="43">
        <v>41</v>
      </c>
      <c r="D342" s="44">
        <v>40341000</v>
      </c>
      <c r="E342" s="43">
        <v>13</v>
      </c>
      <c r="F342" s="43">
        <v>0</v>
      </c>
      <c r="G342" s="44">
        <v>356272.97</v>
      </c>
      <c r="H342" s="44">
        <v>242505.94</v>
      </c>
      <c r="I342" s="44">
        <v>141410.44</v>
      </c>
      <c r="J342" s="44">
        <v>101095.5</v>
      </c>
      <c r="K342" s="45">
        <v>2.506E-3</v>
      </c>
      <c r="L342" s="44">
        <v>3323622.42</v>
      </c>
      <c r="M342" s="44">
        <v>30367908.609999999</v>
      </c>
      <c r="N342" s="45">
        <v>0.75280000000000002</v>
      </c>
      <c r="O342" s="45">
        <v>2.7654999999999999E-2</v>
      </c>
      <c r="P342" s="45">
        <v>4.6700000000000002E-4</v>
      </c>
    </row>
    <row r="343" spans="1:16" x14ac:dyDescent="0.3">
      <c r="A343" s="43" t="s">
        <v>327</v>
      </c>
      <c r="B343" s="43" t="s">
        <v>328</v>
      </c>
      <c r="C343" s="43">
        <v>41</v>
      </c>
      <c r="D343" s="44">
        <v>40341000</v>
      </c>
      <c r="E343" s="43">
        <v>14</v>
      </c>
      <c r="F343" s="43">
        <v>0</v>
      </c>
      <c r="G343" s="44">
        <v>428770.68</v>
      </c>
      <c r="H343" s="44">
        <v>290637.43</v>
      </c>
      <c r="I343" s="44">
        <v>174487.91</v>
      </c>
      <c r="J343" s="44">
        <v>116149.52</v>
      </c>
      <c r="K343" s="45">
        <v>2.879E-3</v>
      </c>
      <c r="L343" s="44">
        <v>3685493.36</v>
      </c>
      <c r="M343" s="44">
        <v>29449447.960000001</v>
      </c>
      <c r="N343" s="45">
        <v>0.73</v>
      </c>
      <c r="O343" s="45">
        <v>2.0667000000000001E-2</v>
      </c>
      <c r="P343" s="45">
        <v>3.5E-4</v>
      </c>
    </row>
    <row r="344" spans="1:16" x14ac:dyDescent="0.3">
      <c r="A344" s="43" t="s">
        <v>327</v>
      </c>
      <c r="B344" s="43" t="s">
        <v>328</v>
      </c>
      <c r="C344" s="43">
        <v>41</v>
      </c>
      <c r="D344" s="44">
        <v>40341000</v>
      </c>
      <c r="E344" s="43">
        <v>15</v>
      </c>
      <c r="F344" s="43">
        <v>0</v>
      </c>
      <c r="G344" s="44">
        <v>492597.52</v>
      </c>
      <c r="H344" s="44">
        <v>334524.65999999997</v>
      </c>
      <c r="I344" s="44">
        <v>194510.66</v>
      </c>
      <c r="J344" s="44">
        <v>140014</v>
      </c>
      <c r="K344" s="45">
        <v>3.4710000000000001E-3</v>
      </c>
      <c r="L344" s="44">
        <v>4058997.32</v>
      </c>
      <c r="M344" s="44">
        <v>28528025.170000002</v>
      </c>
      <c r="N344" s="45">
        <v>0.70720000000000005</v>
      </c>
      <c r="O344" s="45">
        <v>2.2988999999999999E-2</v>
      </c>
      <c r="P344" s="45">
        <v>6.2500000000000001E-4</v>
      </c>
    </row>
    <row r="345" spans="1:16" x14ac:dyDescent="0.3">
      <c r="A345" s="43" t="s">
        <v>329</v>
      </c>
      <c r="B345" s="43" t="s">
        <v>330</v>
      </c>
      <c r="C345" s="43">
        <v>37</v>
      </c>
      <c r="D345" s="44">
        <v>43820400</v>
      </c>
      <c r="E345" s="43">
        <v>0</v>
      </c>
      <c r="F345" s="43">
        <v>0</v>
      </c>
      <c r="G345" s="44">
        <v>0</v>
      </c>
      <c r="H345" s="44">
        <v>0</v>
      </c>
      <c r="I345" s="44">
        <v>0</v>
      </c>
      <c r="J345" s="44">
        <v>0</v>
      </c>
      <c r="K345" s="45">
        <v>0</v>
      </c>
      <c r="L345" s="44">
        <v>154687.91</v>
      </c>
      <c r="M345" s="44">
        <v>43665712.090000004</v>
      </c>
      <c r="N345" s="45">
        <v>0.99650000000000005</v>
      </c>
      <c r="O345" s="45">
        <v>2.4177000000000001E-2</v>
      </c>
      <c r="P345" s="45">
        <v>0</v>
      </c>
    </row>
    <row r="346" spans="1:16" x14ac:dyDescent="0.3">
      <c r="A346" s="43" t="s">
        <v>329</v>
      </c>
      <c r="B346" s="43" t="s">
        <v>330</v>
      </c>
      <c r="C346" s="43">
        <v>37</v>
      </c>
      <c r="D346" s="44">
        <v>43820400</v>
      </c>
      <c r="E346" s="43">
        <v>1</v>
      </c>
      <c r="F346" s="43">
        <v>0</v>
      </c>
      <c r="G346" s="44">
        <v>2945.85</v>
      </c>
      <c r="H346" s="44">
        <v>1925.02</v>
      </c>
      <c r="I346" s="44">
        <v>0</v>
      </c>
      <c r="J346" s="44">
        <v>1925.02</v>
      </c>
      <c r="K346" s="45">
        <v>4.3999999999999999E-5</v>
      </c>
      <c r="L346" s="44">
        <v>446276.88</v>
      </c>
      <c r="M346" s="44">
        <v>42845332.469999999</v>
      </c>
      <c r="N346" s="45">
        <v>0.97770000000000001</v>
      </c>
      <c r="O346" s="45">
        <v>2.1774000000000002E-2</v>
      </c>
      <c r="P346" s="45">
        <v>4.6E-5</v>
      </c>
    </row>
    <row r="347" spans="1:16" x14ac:dyDescent="0.3">
      <c r="A347" s="43" t="s">
        <v>329</v>
      </c>
      <c r="B347" s="43" t="s">
        <v>330</v>
      </c>
      <c r="C347" s="43">
        <v>37</v>
      </c>
      <c r="D347" s="44">
        <v>43820400</v>
      </c>
      <c r="E347" s="43">
        <v>2</v>
      </c>
      <c r="F347" s="43">
        <v>0</v>
      </c>
      <c r="G347" s="44">
        <v>10143.5</v>
      </c>
      <c r="H347" s="44">
        <v>6429.65</v>
      </c>
      <c r="I347" s="44">
        <v>0</v>
      </c>
      <c r="J347" s="44">
        <v>6429.65</v>
      </c>
      <c r="K347" s="45">
        <v>1.47E-4</v>
      </c>
      <c r="L347" s="44">
        <v>673231.51</v>
      </c>
      <c r="M347" s="44">
        <v>42085335.390000001</v>
      </c>
      <c r="N347" s="45">
        <v>0.96040000000000003</v>
      </c>
      <c r="O347" s="45">
        <v>1.8859000000000001E-2</v>
      </c>
      <c r="P347" s="45">
        <v>1.2E-4</v>
      </c>
    </row>
    <row r="348" spans="1:16" x14ac:dyDescent="0.3">
      <c r="A348" s="43" t="s">
        <v>329</v>
      </c>
      <c r="B348" s="43" t="s">
        <v>330</v>
      </c>
      <c r="C348" s="43">
        <v>37</v>
      </c>
      <c r="D348" s="44">
        <v>43820400</v>
      </c>
      <c r="E348" s="43">
        <v>3</v>
      </c>
      <c r="F348" s="43">
        <v>0</v>
      </c>
      <c r="G348" s="44">
        <v>20976.400000000001</v>
      </c>
      <c r="H348" s="44">
        <v>13715.34</v>
      </c>
      <c r="I348" s="44">
        <v>0</v>
      </c>
      <c r="J348" s="44">
        <v>13715.34</v>
      </c>
      <c r="K348" s="45">
        <v>3.1300000000000002E-4</v>
      </c>
      <c r="L348" s="44">
        <v>877647.91</v>
      </c>
      <c r="M348" s="44">
        <v>41344241.289999999</v>
      </c>
      <c r="N348" s="45">
        <v>0.94350000000000001</v>
      </c>
      <c r="O348" s="45">
        <v>2.2485999999999999E-2</v>
      </c>
      <c r="P348" s="45">
        <v>1.7100000000000001E-4</v>
      </c>
    </row>
    <row r="349" spans="1:16" x14ac:dyDescent="0.3">
      <c r="A349" s="43" t="s">
        <v>329</v>
      </c>
      <c r="B349" s="43" t="s">
        <v>330</v>
      </c>
      <c r="C349" s="43">
        <v>37</v>
      </c>
      <c r="D349" s="44">
        <v>43820400</v>
      </c>
      <c r="E349" s="43">
        <v>4</v>
      </c>
      <c r="F349" s="43">
        <v>0</v>
      </c>
      <c r="G349" s="44">
        <v>36798.32</v>
      </c>
      <c r="H349" s="44">
        <v>23907.02</v>
      </c>
      <c r="I349" s="44">
        <v>7860.3</v>
      </c>
      <c r="J349" s="44">
        <v>16046.73</v>
      </c>
      <c r="K349" s="45">
        <v>3.6600000000000001E-4</v>
      </c>
      <c r="L349" s="44">
        <v>1125764.18</v>
      </c>
      <c r="M349" s="44">
        <v>40554458.299999997</v>
      </c>
      <c r="N349" s="45">
        <v>0.92549999999999999</v>
      </c>
      <c r="O349" s="45">
        <v>2.1260000000000001E-2</v>
      </c>
      <c r="P349" s="45">
        <v>4.3000000000000002E-5</v>
      </c>
    </row>
    <row r="350" spans="1:16" x14ac:dyDescent="0.3">
      <c r="A350" s="43" t="s">
        <v>329</v>
      </c>
      <c r="B350" s="43" t="s">
        <v>330</v>
      </c>
      <c r="C350" s="43">
        <v>37</v>
      </c>
      <c r="D350" s="44">
        <v>43820400</v>
      </c>
      <c r="E350" s="43">
        <v>5</v>
      </c>
      <c r="F350" s="43">
        <v>0</v>
      </c>
      <c r="G350" s="44">
        <v>54076.63</v>
      </c>
      <c r="H350" s="44">
        <v>36278.53</v>
      </c>
      <c r="I350" s="44">
        <v>16329.26</v>
      </c>
      <c r="J350" s="44">
        <v>19949.27</v>
      </c>
      <c r="K350" s="45">
        <v>4.55E-4</v>
      </c>
      <c r="L350" s="44">
        <v>1465976.64</v>
      </c>
      <c r="M350" s="44">
        <v>39671122.729999997</v>
      </c>
      <c r="N350" s="45">
        <v>0.90529999999999999</v>
      </c>
      <c r="O350" s="45">
        <v>1.9323E-2</v>
      </c>
      <c r="P350" s="45">
        <v>7.2000000000000002E-5</v>
      </c>
    </row>
    <row r="351" spans="1:16" x14ac:dyDescent="0.3">
      <c r="A351" s="43" t="s">
        <v>329</v>
      </c>
      <c r="B351" s="43" t="s">
        <v>330</v>
      </c>
      <c r="C351" s="43">
        <v>37</v>
      </c>
      <c r="D351" s="44">
        <v>43820400</v>
      </c>
      <c r="E351" s="43">
        <v>6</v>
      </c>
      <c r="F351" s="43">
        <v>0</v>
      </c>
      <c r="G351" s="44">
        <v>81213.66</v>
      </c>
      <c r="H351" s="44">
        <v>52823.75</v>
      </c>
      <c r="I351" s="44">
        <v>29608</v>
      </c>
      <c r="J351" s="44">
        <v>23215.75</v>
      </c>
      <c r="K351" s="45">
        <v>5.2999999999999998E-4</v>
      </c>
      <c r="L351" s="44">
        <v>1809841.55</v>
      </c>
      <c r="M351" s="44">
        <v>38774275.990000002</v>
      </c>
      <c r="N351" s="45">
        <v>0.88480000000000003</v>
      </c>
      <c r="O351" s="45">
        <v>1.8126E-2</v>
      </c>
      <c r="P351" s="45">
        <v>6.3999999999999997E-5</v>
      </c>
    </row>
    <row r="352" spans="1:16" x14ac:dyDescent="0.3">
      <c r="A352" s="43" t="s">
        <v>329</v>
      </c>
      <c r="B352" s="43" t="s">
        <v>330</v>
      </c>
      <c r="C352" s="43">
        <v>37</v>
      </c>
      <c r="D352" s="44">
        <v>43820400</v>
      </c>
      <c r="E352" s="43">
        <v>7</v>
      </c>
      <c r="F352" s="43">
        <v>0</v>
      </c>
      <c r="G352" s="44">
        <v>110141.85</v>
      </c>
      <c r="H352" s="44">
        <v>69369.460000000006</v>
      </c>
      <c r="I352" s="44">
        <v>44038.01</v>
      </c>
      <c r="J352" s="44">
        <v>25331.45</v>
      </c>
      <c r="K352" s="45">
        <v>5.7799999999999995E-4</v>
      </c>
      <c r="L352" s="44">
        <v>2157030.67</v>
      </c>
      <c r="M352" s="44">
        <v>37872313.880000003</v>
      </c>
      <c r="N352" s="45">
        <v>0.86429999999999996</v>
      </c>
      <c r="O352" s="45">
        <v>2.6831000000000001E-2</v>
      </c>
      <c r="P352" s="45">
        <v>1.1900000000000001E-4</v>
      </c>
    </row>
    <row r="353" spans="1:16" x14ac:dyDescent="0.3">
      <c r="A353" s="43" t="s">
        <v>329</v>
      </c>
      <c r="B353" s="43" t="s">
        <v>330</v>
      </c>
      <c r="C353" s="43">
        <v>37</v>
      </c>
      <c r="D353" s="44">
        <v>43820400</v>
      </c>
      <c r="E353" s="43">
        <v>8</v>
      </c>
      <c r="F353" s="43">
        <v>0</v>
      </c>
      <c r="G353" s="44">
        <v>142264.6</v>
      </c>
      <c r="H353" s="44">
        <v>88725.54</v>
      </c>
      <c r="I353" s="44">
        <v>58599.25</v>
      </c>
      <c r="J353" s="44">
        <v>30126.29</v>
      </c>
      <c r="K353" s="45">
        <v>6.87E-4</v>
      </c>
      <c r="L353" s="44">
        <v>2500659.96</v>
      </c>
      <c r="M353" s="44">
        <v>36970717.049999997</v>
      </c>
      <c r="N353" s="45">
        <v>0.84370000000000001</v>
      </c>
      <c r="O353" s="45">
        <v>2.4299000000000001E-2</v>
      </c>
      <c r="P353" s="45">
        <v>1.9100000000000001E-4</v>
      </c>
    </row>
    <row r="354" spans="1:16" x14ac:dyDescent="0.3">
      <c r="A354" s="43" t="s">
        <v>329</v>
      </c>
      <c r="B354" s="43" t="s">
        <v>330</v>
      </c>
      <c r="C354" s="43">
        <v>37</v>
      </c>
      <c r="D354" s="44">
        <v>43820400</v>
      </c>
      <c r="E354" s="43">
        <v>9</v>
      </c>
      <c r="F354" s="43">
        <v>0</v>
      </c>
      <c r="G354" s="44">
        <v>184271.41</v>
      </c>
      <c r="H354" s="44">
        <v>119748.28</v>
      </c>
      <c r="I354" s="44">
        <v>75265.509999999995</v>
      </c>
      <c r="J354" s="44">
        <v>44482.77</v>
      </c>
      <c r="K354" s="45">
        <v>1.0150000000000001E-3</v>
      </c>
      <c r="L354" s="44">
        <v>2714766.68</v>
      </c>
      <c r="M354" s="44">
        <v>36188758.710000001</v>
      </c>
      <c r="N354" s="45">
        <v>0.82579999999999998</v>
      </c>
      <c r="O354" s="45">
        <v>2.2682999999999998E-2</v>
      </c>
      <c r="P354" s="45">
        <v>2.43E-4</v>
      </c>
    </row>
    <row r="355" spans="1:16" x14ac:dyDescent="0.3">
      <c r="A355" s="43" t="s">
        <v>329</v>
      </c>
      <c r="B355" s="43" t="s">
        <v>330</v>
      </c>
      <c r="C355" s="43">
        <v>37</v>
      </c>
      <c r="D355" s="44">
        <v>43820400</v>
      </c>
      <c r="E355" s="43">
        <v>10</v>
      </c>
      <c r="F355" s="43">
        <v>0</v>
      </c>
      <c r="G355" s="44">
        <v>225496.52</v>
      </c>
      <c r="H355" s="44">
        <v>148451.09</v>
      </c>
      <c r="I355" s="44">
        <v>90457.86</v>
      </c>
      <c r="J355" s="44">
        <v>57993.23</v>
      </c>
      <c r="K355" s="45">
        <v>1.323E-3</v>
      </c>
      <c r="L355" s="44">
        <v>3092332.71</v>
      </c>
      <c r="M355" s="44">
        <v>35244122.770000003</v>
      </c>
      <c r="N355" s="45">
        <v>0.80430000000000001</v>
      </c>
      <c r="O355" s="45">
        <v>2.3210999999999999E-2</v>
      </c>
      <c r="P355" s="45">
        <v>1.8900000000000001E-4</v>
      </c>
    </row>
    <row r="356" spans="1:16" x14ac:dyDescent="0.3">
      <c r="A356" s="43" t="s">
        <v>329</v>
      </c>
      <c r="B356" s="43" t="s">
        <v>330</v>
      </c>
      <c r="C356" s="43">
        <v>37</v>
      </c>
      <c r="D356" s="44">
        <v>43820400</v>
      </c>
      <c r="E356" s="43">
        <v>11</v>
      </c>
      <c r="F356" s="43">
        <v>0</v>
      </c>
      <c r="G356" s="44">
        <v>275799.18</v>
      </c>
      <c r="H356" s="44">
        <v>182809.73</v>
      </c>
      <c r="I356" s="44">
        <v>109312.23</v>
      </c>
      <c r="J356" s="44">
        <v>73497.5</v>
      </c>
      <c r="K356" s="45">
        <v>1.6770000000000001E-3</v>
      </c>
      <c r="L356" s="44">
        <v>3333694.26</v>
      </c>
      <c r="M356" s="44">
        <v>34426613.759999998</v>
      </c>
      <c r="N356" s="45">
        <v>0.78559999999999997</v>
      </c>
      <c r="O356" s="45">
        <v>2.0183E-2</v>
      </c>
      <c r="P356" s="45">
        <v>3.9899999999999999E-4</v>
      </c>
    </row>
    <row r="357" spans="1:16" x14ac:dyDescent="0.3">
      <c r="A357" s="43" t="s">
        <v>329</v>
      </c>
      <c r="B357" s="43" t="s">
        <v>330</v>
      </c>
      <c r="C357" s="43">
        <v>37</v>
      </c>
      <c r="D357" s="44">
        <v>43820400</v>
      </c>
      <c r="E357" s="43">
        <v>12</v>
      </c>
      <c r="F357" s="43">
        <v>0</v>
      </c>
      <c r="G357" s="44">
        <v>331771.2</v>
      </c>
      <c r="H357" s="44">
        <v>222272.77</v>
      </c>
      <c r="I357" s="44">
        <v>130016.48</v>
      </c>
      <c r="J357" s="44">
        <v>92256.29</v>
      </c>
      <c r="K357" s="45">
        <v>2.1050000000000001E-3</v>
      </c>
      <c r="L357" s="44">
        <v>3513933.6</v>
      </c>
      <c r="M357" s="44">
        <v>33664557.600000001</v>
      </c>
      <c r="N357" s="45">
        <v>0.76819999999999999</v>
      </c>
      <c r="O357" s="45">
        <v>2.6499000000000002E-2</v>
      </c>
      <c r="P357" s="45">
        <v>4.3100000000000001E-4</v>
      </c>
    </row>
    <row r="358" spans="1:16" x14ac:dyDescent="0.3">
      <c r="A358" s="43" t="s">
        <v>331</v>
      </c>
      <c r="B358" s="43" t="s">
        <v>332</v>
      </c>
      <c r="C358" s="43">
        <v>31</v>
      </c>
      <c r="D358" s="44">
        <v>41843000</v>
      </c>
      <c r="E358" s="43">
        <v>0</v>
      </c>
      <c r="F358" s="43">
        <v>0</v>
      </c>
      <c r="G358" s="44">
        <v>0</v>
      </c>
      <c r="H358" s="44">
        <v>0</v>
      </c>
      <c r="I358" s="44">
        <v>0</v>
      </c>
      <c r="J358" s="44">
        <v>0</v>
      </c>
      <c r="K358" s="45">
        <v>0</v>
      </c>
      <c r="L358" s="44">
        <v>229677.2</v>
      </c>
      <c r="M358" s="44">
        <v>41613322.799999997</v>
      </c>
      <c r="N358" s="45">
        <v>0.99450000000000005</v>
      </c>
      <c r="O358" s="45">
        <v>1.8620999999999999E-2</v>
      </c>
      <c r="P358" s="45">
        <v>0</v>
      </c>
    </row>
    <row r="359" spans="1:16" x14ac:dyDescent="0.3">
      <c r="A359" s="43" t="s">
        <v>331</v>
      </c>
      <c r="B359" s="43" t="s">
        <v>332</v>
      </c>
      <c r="C359" s="43">
        <v>31</v>
      </c>
      <c r="D359" s="44">
        <v>41843000</v>
      </c>
      <c r="E359" s="43">
        <v>1</v>
      </c>
      <c r="F359" s="43">
        <v>0</v>
      </c>
      <c r="G359" s="44">
        <v>3808.32</v>
      </c>
      <c r="H359" s="44">
        <v>2778.49</v>
      </c>
      <c r="I359" s="44">
        <v>0</v>
      </c>
      <c r="J359" s="44">
        <v>2778.49</v>
      </c>
      <c r="K359" s="45">
        <v>6.6000000000000005E-5</v>
      </c>
      <c r="L359" s="44">
        <v>374222.53</v>
      </c>
      <c r="M359" s="44">
        <v>40962853.149999999</v>
      </c>
      <c r="N359" s="45">
        <v>0.97899999999999998</v>
      </c>
      <c r="O359" s="45">
        <v>2.0642000000000001E-2</v>
      </c>
      <c r="P359" s="45">
        <v>6.7000000000000002E-5</v>
      </c>
    </row>
    <row r="360" spans="1:16" x14ac:dyDescent="0.3">
      <c r="A360" s="43" t="s">
        <v>331</v>
      </c>
      <c r="B360" s="43" t="s">
        <v>332</v>
      </c>
      <c r="C360" s="43">
        <v>31</v>
      </c>
      <c r="D360" s="44">
        <v>41843000</v>
      </c>
      <c r="E360" s="43">
        <v>2</v>
      </c>
      <c r="F360" s="43">
        <v>0</v>
      </c>
      <c r="G360" s="44">
        <v>11318.03</v>
      </c>
      <c r="H360" s="44">
        <v>7160.63</v>
      </c>
      <c r="I360" s="44">
        <v>0</v>
      </c>
      <c r="J360" s="44">
        <v>7160.63</v>
      </c>
      <c r="K360" s="45">
        <v>1.7100000000000001E-4</v>
      </c>
      <c r="L360" s="44">
        <v>535251.34</v>
      </c>
      <c r="M360" s="44">
        <v>40292198.630000003</v>
      </c>
      <c r="N360" s="45">
        <v>0.96289999999999998</v>
      </c>
      <c r="O360" s="45">
        <v>1.7801000000000001E-2</v>
      </c>
      <c r="P360" s="45">
        <v>1.25E-4</v>
      </c>
    </row>
    <row r="361" spans="1:16" x14ac:dyDescent="0.3">
      <c r="A361" s="43" t="s">
        <v>331</v>
      </c>
      <c r="B361" s="43" t="s">
        <v>332</v>
      </c>
      <c r="C361" s="43">
        <v>31</v>
      </c>
      <c r="D361" s="44">
        <v>41843000</v>
      </c>
      <c r="E361" s="43">
        <v>3</v>
      </c>
      <c r="F361" s="43">
        <v>0</v>
      </c>
      <c r="G361" s="44">
        <v>23580.74</v>
      </c>
      <c r="H361" s="44">
        <v>14642.31</v>
      </c>
      <c r="I361" s="44">
        <v>0</v>
      </c>
      <c r="J361" s="44">
        <v>14642.31</v>
      </c>
      <c r="K361" s="45">
        <v>3.5E-4</v>
      </c>
      <c r="L361" s="44">
        <v>765328.62</v>
      </c>
      <c r="M361" s="44">
        <v>39547742.640000001</v>
      </c>
      <c r="N361" s="45">
        <v>0.94510000000000005</v>
      </c>
      <c r="O361" s="45">
        <v>2.0650000000000002E-2</v>
      </c>
      <c r="P361" s="45">
        <v>1.76E-4</v>
      </c>
    </row>
    <row r="362" spans="1:16" x14ac:dyDescent="0.3">
      <c r="A362" s="43" t="s">
        <v>331</v>
      </c>
      <c r="B362" s="43" t="s">
        <v>332</v>
      </c>
      <c r="C362" s="43">
        <v>31</v>
      </c>
      <c r="D362" s="44">
        <v>41843000</v>
      </c>
      <c r="E362" s="43">
        <v>4</v>
      </c>
      <c r="F362" s="43">
        <v>0</v>
      </c>
      <c r="G362" s="44">
        <v>40096.43</v>
      </c>
      <c r="H362" s="44">
        <v>24566.54</v>
      </c>
      <c r="I362" s="44">
        <v>6423.24</v>
      </c>
      <c r="J362" s="44">
        <v>18143.3</v>
      </c>
      <c r="K362" s="45">
        <v>4.3399999999999998E-4</v>
      </c>
      <c r="L362" s="44">
        <v>1075102.21</v>
      </c>
      <c r="M362" s="44">
        <v>38719337.359999999</v>
      </c>
      <c r="N362" s="45">
        <v>0.92530000000000001</v>
      </c>
      <c r="O362" s="45">
        <v>2.6124000000000001E-2</v>
      </c>
      <c r="P362" s="45">
        <v>1.16E-4</v>
      </c>
    </row>
    <row r="363" spans="1:16" x14ac:dyDescent="0.3">
      <c r="A363" s="43" t="s">
        <v>331</v>
      </c>
      <c r="B363" s="43" t="s">
        <v>332</v>
      </c>
      <c r="C363" s="43">
        <v>31</v>
      </c>
      <c r="D363" s="44">
        <v>41843000</v>
      </c>
      <c r="E363" s="43">
        <v>5</v>
      </c>
      <c r="F363" s="43">
        <v>0</v>
      </c>
      <c r="G363" s="44">
        <v>57417.41</v>
      </c>
      <c r="H363" s="44">
        <v>35100.620000000003</v>
      </c>
      <c r="I363" s="44">
        <v>14461.96</v>
      </c>
      <c r="J363" s="44">
        <v>20638.66</v>
      </c>
      <c r="K363" s="45">
        <v>4.9299999999999995E-4</v>
      </c>
      <c r="L363" s="44">
        <v>1272668.33</v>
      </c>
      <c r="M363" s="44">
        <v>38002334.270000003</v>
      </c>
      <c r="N363" s="45">
        <v>0.90820000000000001</v>
      </c>
      <c r="O363" s="45">
        <v>2.2225999999999999E-2</v>
      </c>
      <c r="P363" s="45">
        <v>9.5000000000000005E-5</v>
      </c>
    </row>
    <row r="364" spans="1:16" x14ac:dyDescent="0.3">
      <c r="A364" s="43" t="s">
        <v>331</v>
      </c>
      <c r="B364" s="43" t="s">
        <v>332</v>
      </c>
      <c r="C364" s="43">
        <v>31</v>
      </c>
      <c r="D364" s="44">
        <v>41843000</v>
      </c>
      <c r="E364" s="43">
        <v>6</v>
      </c>
      <c r="F364" s="43">
        <v>0</v>
      </c>
      <c r="G364" s="44">
        <v>79241.53</v>
      </c>
      <c r="H364" s="44">
        <v>51201.72</v>
      </c>
      <c r="I364" s="44">
        <v>23271.06</v>
      </c>
      <c r="J364" s="44">
        <v>27930.66</v>
      </c>
      <c r="K364" s="45">
        <v>6.6799999999999997E-4</v>
      </c>
      <c r="L364" s="44">
        <v>1470404.65</v>
      </c>
      <c r="M364" s="44">
        <v>37280657.82</v>
      </c>
      <c r="N364" s="45">
        <v>0.89100000000000001</v>
      </c>
      <c r="O364" s="45">
        <v>2.0729000000000001E-2</v>
      </c>
      <c r="P364" s="45">
        <v>1.56E-4</v>
      </c>
    </row>
    <row r="365" spans="1:16" x14ac:dyDescent="0.3">
      <c r="A365" s="43" t="s">
        <v>331</v>
      </c>
      <c r="B365" s="43" t="s">
        <v>332</v>
      </c>
      <c r="C365" s="43">
        <v>31</v>
      </c>
      <c r="D365" s="44">
        <v>41843000</v>
      </c>
      <c r="E365" s="43">
        <v>7</v>
      </c>
      <c r="F365" s="43">
        <v>0</v>
      </c>
      <c r="G365" s="44">
        <v>98129.66</v>
      </c>
      <c r="H365" s="44">
        <v>61970.879999999997</v>
      </c>
      <c r="I365" s="44">
        <v>29658.89</v>
      </c>
      <c r="J365" s="44">
        <v>32311.99</v>
      </c>
      <c r="K365" s="45">
        <v>7.7200000000000001E-4</v>
      </c>
      <c r="L365" s="44">
        <v>1850108.26</v>
      </c>
      <c r="M365" s="44">
        <v>36379950.079999998</v>
      </c>
      <c r="N365" s="45">
        <v>0.86939999999999995</v>
      </c>
      <c r="O365" s="45">
        <v>1.8112E-2</v>
      </c>
      <c r="P365" s="45">
        <v>1.27E-4</v>
      </c>
    </row>
    <row r="366" spans="1:16" x14ac:dyDescent="0.3">
      <c r="A366" s="43" t="s">
        <v>331</v>
      </c>
      <c r="B366" s="43" t="s">
        <v>332</v>
      </c>
      <c r="C366" s="43">
        <v>31</v>
      </c>
      <c r="D366" s="44">
        <v>41843000</v>
      </c>
      <c r="E366" s="43">
        <v>8</v>
      </c>
      <c r="F366" s="43">
        <v>0</v>
      </c>
      <c r="G366" s="44">
        <v>132859.85999999999</v>
      </c>
      <c r="H366" s="44">
        <v>86279.96</v>
      </c>
      <c r="I366" s="44">
        <v>40351.019999999997</v>
      </c>
      <c r="J366" s="44">
        <v>45928.94</v>
      </c>
      <c r="K366" s="45">
        <v>1.098E-3</v>
      </c>
      <c r="L366" s="44">
        <v>2029115.05</v>
      </c>
      <c r="M366" s="44">
        <v>35664097.090000004</v>
      </c>
      <c r="N366" s="45">
        <v>0.85229999999999995</v>
      </c>
      <c r="O366" s="45">
        <v>2.7067999999999998E-2</v>
      </c>
      <c r="P366" s="45">
        <v>2.7700000000000001E-4</v>
      </c>
    </row>
    <row r="367" spans="1:16" x14ac:dyDescent="0.3">
      <c r="A367" s="43" t="s">
        <v>331</v>
      </c>
      <c r="B367" s="43" t="s">
        <v>332</v>
      </c>
      <c r="C367" s="43">
        <v>31</v>
      </c>
      <c r="D367" s="44">
        <v>41843000</v>
      </c>
      <c r="E367" s="43">
        <v>9</v>
      </c>
      <c r="F367" s="43">
        <v>0</v>
      </c>
      <c r="G367" s="44">
        <v>175855.77</v>
      </c>
      <c r="H367" s="44">
        <v>115953.41</v>
      </c>
      <c r="I367" s="44">
        <v>53537.38</v>
      </c>
      <c r="J367" s="44">
        <v>62416.03</v>
      </c>
      <c r="K367" s="45">
        <v>1.4920000000000001E-3</v>
      </c>
      <c r="L367" s="44">
        <v>2348863.12</v>
      </c>
      <c r="M367" s="44">
        <v>34799237.109999999</v>
      </c>
      <c r="N367" s="45">
        <v>0.83169999999999999</v>
      </c>
      <c r="O367" s="45">
        <v>1.9781E-2</v>
      </c>
      <c r="P367" s="45">
        <v>3.59E-4</v>
      </c>
    </row>
    <row r="368" spans="1:16" x14ac:dyDescent="0.3">
      <c r="A368" s="43" t="s">
        <v>333</v>
      </c>
      <c r="B368" s="43" t="s">
        <v>334</v>
      </c>
      <c r="C368" s="43">
        <v>35</v>
      </c>
      <c r="D368" s="44">
        <v>39108300</v>
      </c>
      <c r="E368" s="43">
        <v>0</v>
      </c>
      <c r="F368" s="43">
        <v>0</v>
      </c>
      <c r="G368" s="44">
        <v>0</v>
      </c>
      <c r="H368" s="44">
        <v>0</v>
      </c>
      <c r="I368" s="44">
        <v>0</v>
      </c>
      <c r="J368" s="44">
        <v>0</v>
      </c>
      <c r="K368" s="45">
        <v>0</v>
      </c>
      <c r="L368" s="44">
        <v>274513.95</v>
      </c>
      <c r="M368" s="44">
        <v>38833786.049999997</v>
      </c>
      <c r="N368" s="45">
        <v>0.99299999999999999</v>
      </c>
      <c r="O368" s="45">
        <v>2.2492999999999999E-2</v>
      </c>
      <c r="P368" s="45">
        <v>0</v>
      </c>
    </row>
    <row r="369" spans="1:16" x14ac:dyDescent="0.3">
      <c r="A369" s="43" t="s">
        <v>333</v>
      </c>
      <c r="B369" s="43" t="s">
        <v>334</v>
      </c>
      <c r="C369" s="43">
        <v>35</v>
      </c>
      <c r="D369" s="44">
        <v>39108300</v>
      </c>
      <c r="E369" s="43">
        <v>1</v>
      </c>
      <c r="F369" s="43">
        <v>0</v>
      </c>
      <c r="G369" s="44">
        <v>3866.03</v>
      </c>
      <c r="H369" s="44">
        <v>2738.28</v>
      </c>
      <c r="I369" s="44">
        <v>0</v>
      </c>
      <c r="J369" s="44">
        <v>2738.28</v>
      </c>
      <c r="K369" s="45">
        <v>6.9999999999999994E-5</v>
      </c>
      <c r="L369" s="44">
        <v>490557.54</v>
      </c>
      <c r="M369" s="44">
        <v>38144576.829999998</v>
      </c>
      <c r="N369" s="45">
        <v>0.97540000000000004</v>
      </c>
      <c r="O369" s="45">
        <v>2.1187000000000001E-2</v>
      </c>
      <c r="P369" s="45">
        <v>6.3E-5</v>
      </c>
    </row>
    <row r="370" spans="1:16" x14ac:dyDescent="0.3">
      <c r="A370" s="43" t="s">
        <v>333</v>
      </c>
      <c r="B370" s="43" t="s">
        <v>334</v>
      </c>
      <c r="C370" s="43">
        <v>35</v>
      </c>
      <c r="D370" s="44">
        <v>39108300</v>
      </c>
      <c r="E370" s="43">
        <v>2</v>
      </c>
      <c r="F370" s="43">
        <v>0</v>
      </c>
      <c r="G370" s="44">
        <v>11075.73</v>
      </c>
      <c r="H370" s="44">
        <v>7321.4</v>
      </c>
      <c r="I370" s="44">
        <v>0</v>
      </c>
      <c r="J370" s="44">
        <v>7321.4</v>
      </c>
      <c r="K370" s="45">
        <v>1.8699999999999999E-4</v>
      </c>
      <c r="L370" s="44">
        <v>641493.98</v>
      </c>
      <c r="M370" s="44">
        <v>37517131.079999998</v>
      </c>
      <c r="N370" s="45">
        <v>0.95930000000000004</v>
      </c>
      <c r="O370" s="45">
        <v>2.5665E-2</v>
      </c>
      <c r="P370" s="45">
        <v>1.15E-4</v>
      </c>
    </row>
    <row r="371" spans="1:16" x14ac:dyDescent="0.3">
      <c r="A371" s="43" t="s">
        <v>333</v>
      </c>
      <c r="B371" s="43" t="s">
        <v>334</v>
      </c>
      <c r="C371" s="43">
        <v>35</v>
      </c>
      <c r="D371" s="44">
        <v>39108300</v>
      </c>
      <c r="E371" s="43">
        <v>3</v>
      </c>
      <c r="F371" s="43">
        <v>0</v>
      </c>
      <c r="G371" s="44">
        <v>21872.400000000001</v>
      </c>
      <c r="H371" s="44">
        <v>14139.53</v>
      </c>
      <c r="I371" s="44">
        <v>0</v>
      </c>
      <c r="J371" s="44">
        <v>14139.53</v>
      </c>
      <c r="K371" s="45">
        <v>3.6200000000000002E-4</v>
      </c>
      <c r="L371" s="44">
        <v>874618.61</v>
      </c>
      <c r="M371" s="44">
        <v>36803910.189999998</v>
      </c>
      <c r="N371" s="45">
        <v>0.94110000000000005</v>
      </c>
      <c r="O371" s="45">
        <v>2.0889999999999999E-2</v>
      </c>
      <c r="P371" s="45">
        <v>1.7699999999999999E-4</v>
      </c>
    </row>
    <row r="372" spans="1:16" x14ac:dyDescent="0.3">
      <c r="A372" s="43" t="s">
        <v>333</v>
      </c>
      <c r="B372" s="43" t="s">
        <v>334</v>
      </c>
      <c r="C372" s="43">
        <v>35</v>
      </c>
      <c r="D372" s="44">
        <v>39108300</v>
      </c>
      <c r="E372" s="43">
        <v>4</v>
      </c>
      <c r="F372" s="43">
        <v>0</v>
      </c>
      <c r="G372" s="44">
        <v>32036.7</v>
      </c>
      <c r="H372" s="44">
        <v>20164.18</v>
      </c>
      <c r="I372" s="44">
        <v>3598.34</v>
      </c>
      <c r="J372" s="44">
        <v>16565.830000000002</v>
      </c>
      <c r="K372" s="45">
        <v>4.2400000000000001E-4</v>
      </c>
      <c r="L372" s="44">
        <v>1013381</v>
      </c>
      <c r="M372" s="44">
        <v>36185683.899999999</v>
      </c>
      <c r="N372" s="45">
        <v>0.92530000000000001</v>
      </c>
      <c r="O372" s="45">
        <v>2.4341999999999999E-2</v>
      </c>
      <c r="P372" s="45">
        <v>9.3999999999999994E-5</v>
      </c>
    </row>
    <row r="373" spans="1:16" x14ac:dyDescent="0.3">
      <c r="A373" s="43" t="s">
        <v>333</v>
      </c>
      <c r="B373" s="43" t="s">
        <v>334</v>
      </c>
      <c r="C373" s="43">
        <v>35</v>
      </c>
      <c r="D373" s="44">
        <v>39108300</v>
      </c>
      <c r="E373" s="43">
        <v>5</v>
      </c>
      <c r="F373" s="43">
        <v>0</v>
      </c>
      <c r="G373" s="44">
        <v>50808.17</v>
      </c>
      <c r="H373" s="44">
        <v>32754.59</v>
      </c>
      <c r="I373" s="44">
        <v>9509.15</v>
      </c>
      <c r="J373" s="44">
        <v>23245.439999999999</v>
      </c>
      <c r="K373" s="45">
        <v>5.9400000000000002E-4</v>
      </c>
      <c r="L373" s="44">
        <v>1184128.1399999999</v>
      </c>
      <c r="M373" s="44">
        <v>35526865.689999998</v>
      </c>
      <c r="N373" s="45">
        <v>0.90839999999999999</v>
      </c>
      <c r="O373" s="45">
        <v>2.5773999999999998E-2</v>
      </c>
      <c r="P373" s="45">
        <v>1.4300000000000001E-4</v>
      </c>
    </row>
    <row r="374" spans="1:16" x14ac:dyDescent="0.3">
      <c r="A374" s="43" t="s">
        <v>333</v>
      </c>
      <c r="B374" s="43" t="s">
        <v>334</v>
      </c>
      <c r="C374" s="43">
        <v>35</v>
      </c>
      <c r="D374" s="44">
        <v>39108300</v>
      </c>
      <c r="E374" s="43">
        <v>6</v>
      </c>
      <c r="F374" s="43">
        <v>0</v>
      </c>
      <c r="G374" s="44">
        <v>70274.320000000007</v>
      </c>
      <c r="H374" s="44">
        <v>46774.36</v>
      </c>
      <c r="I374" s="44">
        <v>17741.330000000002</v>
      </c>
      <c r="J374" s="44">
        <v>29033.03</v>
      </c>
      <c r="K374" s="45">
        <v>7.4200000000000004E-4</v>
      </c>
      <c r="L374" s="44">
        <v>1424531.37</v>
      </c>
      <c r="M374" s="44">
        <v>34797696.710000001</v>
      </c>
      <c r="N374" s="45">
        <v>0.88980000000000004</v>
      </c>
      <c r="O374" s="45">
        <v>2.6228999999999999E-2</v>
      </c>
      <c r="P374" s="45">
        <v>9.3999999999999994E-5</v>
      </c>
    </row>
    <row r="375" spans="1:16" x14ac:dyDescent="0.3">
      <c r="A375" s="43" t="s">
        <v>335</v>
      </c>
      <c r="B375" s="43" t="s">
        <v>336</v>
      </c>
      <c r="C375" s="43">
        <v>36</v>
      </c>
      <c r="D375" s="44">
        <v>41109800</v>
      </c>
      <c r="E375" s="43">
        <v>0</v>
      </c>
      <c r="F375" s="43">
        <v>0</v>
      </c>
      <c r="G375" s="44">
        <v>0</v>
      </c>
      <c r="H375" s="44">
        <v>0</v>
      </c>
      <c r="I375" s="44">
        <v>0</v>
      </c>
      <c r="J375" s="44">
        <v>0</v>
      </c>
      <c r="K375" s="45">
        <v>0</v>
      </c>
      <c r="L375" s="44">
        <v>187881.32</v>
      </c>
      <c r="M375" s="44">
        <v>40921918.68</v>
      </c>
      <c r="N375" s="45">
        <v>0.99539999999999995</v>
      </c>
      <c r="O375" s="45">
        <v>2.3844000000000001E-2</v>
      </c>
      <c r="P375" s="45">
        <v>0</v>
      </c>
    </row>
    <row r="376" spans="1:16" x14ac:dyDescent="0.3">
      <c r="A376" s="43" t="s">
        <v>335</v>
      </c>
      <c r="B376" s="43" t="s">
        <v>336</v>
      </c>
      <c r="C376" s="43">
        <v>36</v>
      </c>
      <c r="D376" s="44">
        <v>41109800</v>
      </c>
      <c r="E376" s="43">
        <v>1</v>
      </c>
      <c r="F376" s="43">
        <v>0</v>
      </c>
      <c r="G376" s="44">
        <v>2949</v>
      </c>
      <c r="H376" s="44">
        <v>2074.71</v>
      </c>
      <c r="I376" s="44">
        <v>0</v>
      </c>
      <c r="J376" s="44">
        <v>2074.71</v>
      </c>
      <c r="K376" s="45">
        <v>5.0000000000000002E-5</v>
      </c>
      <c r="L376" s="44">
        <v>338837.82</v>
      </c>
      <c r="M376" s="44">
        <v>40274695.57</v>
      </c>
      <c r="N376" s="45">
        <v>0.97970000000000002</v>
      </c>
      <c r="O376" s="45">
        <v>2.5066999999999999E-2</v>
      </c>
      <c r="P376" s="45">
        <v>4.8999999999999998E-5</v>
      </c>
    </row>
    <row r="377" spans="1:16" x14ac:dyDescent="0.3">
      <c r="A377" s="43" t="s">
        <v>335</v>
      </c>
      <c r="B377" s="43" t="s">
        <v>336</v>
      </c>
      <c r="C377" s="43">
        <v>36</v>
      </c>
      <c r="D377" s="44">
        <v>41109800</v>
      </c>
      <c r="E377" s="43">
        <v>2</v>
      </c>
      <c r="F377" s="43">
        <v>0</v>
      </c>
      <c r="G377" s="44">
        <v>10475.629999999999</v>
      </c>
      <c r="H377" s="44">
        <v>6558.06</v>
      </c>
      <c r="I377" s="44">
        <v>0</v>
      </c>
      <c r="J377" s="44">
        <v>6558.06</v>
      </c>
      <c r="K377" s="45">
        <v>1.6000000000000001E-4</v>
      </c>
      <c r="L377" s="44">
        <v>606778.42000000004</v>
      </c>
      <c r="M377" s="44">
        <v>39505910.75</v>
      </c>
      <c r="N377" s="45">
        <v>0.96099999999999997</v>
      </c>
      <c r="O377" s="45">
        <v>1.9309E-2</v>
      </c>
      <c r="P377" s="45">
        <v>1.2400000000000001E-4</v>
      </c>
    </row>
    <row r="378" spans="1:16" x14ac:dyDescent="0.3">
      <c r="A378" s="43" t="s">
        <v>335</v>
      </c>
      <c r="B378" s="43" t="s">
        <v>336</v>
      </c>
      <c r="C378" s="43">
        <v>36</v>
      </c>
      <c r="D378" s="44">
        <v>41109800</v>
      </c>
      <c r="E378" s="43">
        <v>3</v>
      </c>
      <c r="F378" s="43">
        <v>0</v>
      </c>
      <c r="G378" s="44">
        <v>22871.15</v>
      </c>
      <c r="H378" s="44">
        <v>15419.27</v>
      </c>
      <c r="I378" s="44">
        <v>0</v>
      </c>
      <c r="J378" s="44">
        <v>15419.27</v>
      </c>
      <c r="K378" s="45">
        <v>3.7500000000000001E-4</v>
      </c>
      <c r="L378" s="44">
        <v>762912.27</v>
      </c>
      <c r="M378" s="44">
        <v>38844063.789999999</v>
      </c>
      <c r="N378" s="45">
        <v>0.94489999999999996</v>
      </c>
      <c r="O378" s="45">
        <v>2.1137E-2</v>
      </c>
      <c r="P378" s="45">
        <v>2.2499999999999999E-4</v>
      </c>
    </row>
    <row r="381" spans="1:16" x14ac:dyDescent="0.3">
      <c r="A381" s="52" t="s">
        <v>337</v>
      </c>
      <c r="B381" s="53"/>
      <c r="C381" s="53"/>
      <c r="D381" s="53"/>
      <c r="E381" s="53"/>
      <c r="F381" s="53"/>
    </row>
    <row r="382" spans="1:16" x14ac:dyDescent="0.3">
      <c r="A382" s="26" t="s">
        <v>122</v>
      </c>
      <c r="B382" s="26" t="s">
        <v>338</v>
      </c>
      <c r="C382" s="26" t="s">
        <v>339</v>
      </c>
      <c r="D382" s="26" t="s">
        <v>340</v>
      </c>
      <c r="E382" s="26" t="s">
        <v>341</v>
      </c>
      <c r="F382" s="26" t="s">
        <v>342</v>
      </c>
    </row>
    <row r="383" spans="1:16" x14ac:dyDescent="0.3">
      <c r="A383" s="35" t="s">
        <v>307</v>
      </c>
      <c r="B383" s="46">
        <v>29307800</v>
      </c>
      <c r="C383" s="47">
        <v>2.2079999999999999E-3</v>
      </c>
      <c r="D383" s="47">
        <v>7.3800000000000003E-3</v>
      </c>
      <c r="E383" s="47">
        <v>1.2204E-2</v>
      </c>
      <c r="F383" s="48">
        <v>1.5658999999999999E-2</v>
      </c>
    </row>
    <row r="384" spans="1:16" x14ac:dyDescent="0.3">
      <c r="A384" s="35" t="s">
        <v>309</v>
      </c>
      <c r="B384" s="46">
        <v>33513900</v>
      </c>
      <c r="C384" s="47">
        <v>2.2699999999999999E-3</v>
      </c>
      <c r="D384" s="47">
        <v>7.7450000000000001E-3</v>
      </c>
      <c r="E384" s="47">
        <v>1.4749999999999999E-2</v>
      </c>
      <c r="F384" s="48">
        <v>1.6704E-2</v>
      </c>
    </row>
    <row r="385" spans="1:6" x14ac:dyDescent="0.3">
      <c r="A385" s="35" t="s">
        <v>311</v>
      </c>
      <c r="B385" s="46">
        <v>45567800</v>
      </c>
      <c r="C385" s="47">
        <v>1.9959999999999999E-3</v>
      </c>
      <c r="D385" s="47">
        <v>7.5560000000000002E-3</v>
      </c>
      <c r="E385" s="47">
        <v>1.3498E-2</v>
      </c>
      <c r="F385" s="48">
        <v>1.4239999999999999E-2</v>
      </c>
    </row>
    <row r="386" spans="1:6" x14ac:dyDescent="0.3">
      <c r="A386" s="35" t="s">
        <v>313</v>
      </c>
      <c r="B386" s="46">
        <v>23601300</v>
      </c>
      <c r="C386" s="47">
        <v>1.66E-3</v>
      </c>
      <c r="D386" s="47">
        <v>7.7860000000000004E-3</v>
      </c>
      <c r="E386" s="47">
        <v>1.3186E-2</v>
      </c>
      <c r="F386" s="48">
        <v>1.3186E-2</v>
      </c>
    </row>
    <row r="387" spans="1:6" x14ac:dyDescent="0.3">
      <c r="A387" s="35" t="s">
        <v>315</v>
      </c>
      <c r="B387" s="46">
        <v>37183800</v>
      </c>
      <c r="C387" s="47">
        <v>2.3860000000000001E-3</v>
      </c>
      <c r="D387" s="47">
        <v>8.1620000000000009E-3</v>
      </c>
      <c r="E387" s="47"/>
      <c r="F387" s="48">
        <v>1.2893999999999999E-2</v>
      </c>
    </row>
    <row r="388" spans="1:6" x14ac:dyDescent="0.3">
      <c r="A388" s="35" t="s">
        <v>317</v>
      </c>
      <c r="B388" s="46">
        <v>28236600</v>
      </c>
      <c r="C388" s="47">
        <v>2.1789999999999999E-3</v>
      </c>
      <c r="D388" s="47">
        <v>7.8379999999999995E-3</v>
      </c>
      <c r="E388" s="47"/>
      <c r="F388" s="48">
        <v>1.1620999999999999E-2</v>
      </c>
    </row>
    <row r="389" spans="1:6" x14ac:dyDescent="0.3">
      <c r="A389" s="35" t="s">
        <v>319</v>
      </c>
      <c r="B389" s="46">
        <v>32924900</v>
      </c>
      <c r="C389" s="47">
        <v>1.712E-3</v>
      </c>
      <c r="D389" s="47">
        <v>8.1840000000000003E-3</v>
      </c>
      <c r="E389" s="47"/>
      <c r="F389" s="48">
        <v>9.8049999999999995E-3</v>
      </c>
    </row>
    <row r="390" spans="1:6" x14ac:dyDescent="0.3">
      <c r="A390" s="35" t="s">
        <v>321</v>
      </c>
      <c r="B390" s="46">
        <v>51169100</v>
      </c>
      <c r="C390" s="47">
        <v>1.341E-3</v>
      </c>
      <c r="D390" s="47">
        <v>8.0739999999999996E-3</v>
      </c>
      <c r="E390" s="47"/>
      <c r="F390" s="48">
        <v>8.0739999999999996E-3</v>
      </c>
    </row>
    <row r="391" spans="1:6" x14ac:dyDescent="0.3">
      <c r="A391" s="35" t="s">
        <v>323</v>
      </c>
      <c r="B391" s="46">
        <v>30338200</v>
      </c>
      <c r="C391" s="47">
        <v>1.807E-3</v>
      </c>
      <c r="D391" s="47"/>
      <c r="E391" s="47"/>
      <c r="F391" s="48">
        <v>6.1989999999999996E-3</v>
      </c>
    </row>
    <row r="392" spans="1:6" x14ac:dyDescent="0.3">
      <c r="A392" s="35" t="s">
        <v>325</v>
      </c>
      <c r="B392" s="46">
        <v>28007800</v>
      </c>
      <c r="C392" s="47">
        <v>2.176E-3</v>
      </c>
      <c r="D392" s="47"/>
      <c r="E392" s="47"/>
      <c r="F392" s="48">
        <v>4.2269999999999999E-3</v>
      </c>
    </row>
    <row r="393" spans="1:6" x14ac:dyDescent="0.3">
      <c r="A393" s="35" t="s">
        <v>327</v>
      </c>
      <c r="B393" s="46">
        <v>40341000</v>
      </c>
      <c r="C393" s="47">
        <v>2.101E-3</v>
      </c>
      <c r="D393" s="47"/>
      <c r="E393" s="47"/>
      <c r="F393" s="48">
        <v>3.4710000000000001E-3</v>
      </c>
    </row>
    <row r="394" spans="1:6" x14ac:dyDescent="0.3">
      <c r="A394" s="35" t="s">
        <v>329</v>
      </c>
      <c r="B394" s="46">
        <v>43820400</v>
      </c>
      <c r="C394" s="47">
        <v>2.1050000000000001E-3</v>
      </c>
      <c r="D394" s="47"/>
      <c r="E394" s="47"/>
      <c r="F394" s="48">
        <v>2.1050000000000001E-3</v>
      </c>
    </row>
    <row r="395" spans="1:6" x14ac:dyDescent="0.3">
      <c r="A395" s="35" t="s">
        <v>331</v>
      </c>
      <c r="B395" s="46">
        <v>41843000</v>
      </c>
      <c r="C395" s="47"/>
      <c r="D395" s="47"/>
      <c r="E395" s="47"/>
      <c r="F395" s="48">
        <v>1.4920000000000001E-3</v>
      </c>
    </row>
    <row r="396" spans="1:6" x14ac:dyDescent="0.3">
      <c r="A396" s="35" t="s">
        <v>333</v>
      </c>
      <c r="B396" s="46">
        <v>39108300</v>
      </c>
      <c r="C396" s="47"/>
      <c r="D396" s="47"/>
      <c r="E396" s="47"/>
      <c r="F396" s="48">
        <v>7.4200000000000004E-4</v>
      </c>
    </row>
    <row r="397" spans="1:6" x14ac:dyDescent="0.3">
      <c r="A397" s="35" t="s">
        <v>335</v>
      </c>
      <c r="B397" s="46">
        <v>41109800</v>
      </c>
      <c r="C397" s="47"/>
      <c r="D397" s="47"/>
      <c r="E397" s="47"/>
      <c r="F397" s="48">
        <v>3.7500000000000001E-4</v>
      </c>
    </row>
  </sheetData>
  <mergeCells count="2">
    <mergeCell ref="A381:F381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5"/>
  <sheetViews>
    <sheetView workbookViewId="0"/>
  </sheetViews>
  <sheetFormatPr defaultRowHeight="14.4" x14ac:dyDescent="0.3"/>
  <cols>
    <col min="1" max="2" width="15" customWidth="1"/>
    <col min="3" max="3" width="14" customWidth="1"/>
    <col min="4" max="4" width="19" customWidth="1"/>
    <col min="5" max="6" width="21" customWidth="1"/>
    <col min="7" max="7" width="22" customWidth="1"/>
    <col min="8" max="8" width="19" customWidth="1"/>
    <col min="9" max="9" width="23" customWidth="1"/>
    <col min="10" max="10" width="16" customWidth="1"/>
    <col min="11" max="11" width="14" customWidth="1"/>
    <col min="12" max="12" width="15" customWidth="1"/>
    <col min="13" max="13" width="18" customWidth="1"/>
    <col min="14" max="14" width="15" customWidth="1"/>
    <col min="15" max="15" width="22" customWidth="1"/>
    <col min="16" max="17" width="20" customWidth="1"/>
    <col min="18" max="18" width="14" customWidth="1"/>
    <col min="19" max="19" width="16" customWidth="1"/>
    <col min="20" max="20" width="22" customWidth="1"/>
  </cols>
  <sheetData>
    <row r="1" spans="1:20" ht="28.05" customHeight="1" x14ac:dyDescent="0.3">
      <c r="A1" s="50" t="s">
        <v>343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3" spans="1:20" x14ac:dyDescent="0.3">
      <c r="A3" s="26" t="s">
        <v>344</v>
      </c>
      <c r="B3" s="26" t="s">
        <v>345</v>
      </c>
      <c r="C3" s="26" t="s">
        <v>346</v>
      </c>
      <c r="D3" s="26" t="s">
        <v>347</v>
      </c>
      <c r="E3" s="26" t="s">
        <v>348</v>
      </c>
      <c r="F3" s="26" t="s">
        <v>349</v>
      </c>
      <c r="G3" s="26" t="s">
        <v>350</v>
      </c>
      <c r="H3" s="26" t="s">
        <v>351</v>
      </c>
      <c r="I3" s="26" t="s">
        <v>352</v>
      </c>
      <c r="J3" s="26" t="s">
        <v>353</v>
      </c>
      <c r="K3" s="26" t="s">
        <v>354</v>
      </c>
      <c r="L3" s="26" t="s">
        <v>355</v>
      </c>
      <c r="M3" s="26" t="s">
        <v>356</v>
      </c>
      <c r="N3" s="26" t="s">
        <v>357</v>
      </c>
      <c r="O3" s="26" t="s">
        <v>358</v>
      </c>
      <c r="P3" s="26" t="s">
        <v>359</v>
      </c>
      <c r="Q3" s="26" t="s">
        <v>360</v>
      </c>
      <c r="R3" s="26" t="s">
        <v>108</v>
      </c>
      <c r="S3" s="26" t="s">
        <v>361</v>
      </c>
      <c r="T3" s="26" t="s">
        <v>362</v>
      </c>
    </row>
    <row r="4" spans="1:20" x14ac:dyDescent="0.3">
      <c r="A4" s="27" t="s">
        <v>363</v>
      </c>
      <c r="B4" s="27">
        <v>500</v>
      </c>
      <c r="C4" s="28">
        <v>542637916.38</v>
      </c>
      <c r="D4" s="27">
        <v>2</v>
      </c>
      <c r="E4" s="28">
        <v>2002757.32</v>
      </c>
      <c r="F4" s="28">
        <v>1290126.42</v>
      </c>
      <c r="G4" s="28">
        <v>475101.3</v>
      </c>
      <c r="H4" s="28">
        <v>815025.12</v>
      </c>
      <c r="I4" s="28">
        <v>5076436.1100000003</v>
      </c>
      <c r="J4" s="28">
        <v>10643788.880000001</v>
      </c>
      <c r="K4" s="28">
        <v>524914934.06999999</v>
      </c>
      <c r="L4" s="27">
        <v>497</v>
      </c>
      <c r="M4" s="28">
        <v>21079067.539999999</v>
      </c>
      <c r="N4" s="28">
        <v>15193861.66</v>
      </c>
      <c r="O4" s="47">
        <v>1.3873</v>
      </c>
      <c r="P4" s="47">
        <v>3.6909999999999998E-3</v>
      </c>
      <c r="Q4" s="47">
        <v>1.5020000000000001E-3</v>
      </c>
      <c r="R4" s="47">
        <v>9.5420000000000001E-3</v>
      </c>
      <c r="S4" s="47">
        <v>0.108685</v>
      </c>
      <c r="T4" s="28">
        <v>812888.63</v>
      </c>
    </row>
    <row r="5" spans="1:20" x14ac:dyDescent="0.3">
      <c r="A5" s="27" t="s">
        <v>364</v>
      </c>
      <c r="B5" s="27">
        <v>497</v>
      </c>
      <c r="C5" s="28">
        <v>545100958.66999996</v>
      </c>
      <c r="D5" s="27">
        <v>5</v>
      </c>
      <c r="E5" s="28">
        <v>1957975.41</v>
      </c>
      <c r="F5" s="28">
        <v>1281725.93</v>
      </c>
      <c r="G5" s="28">
        <v>430445.67</v>
      </c>
      <c r="H5" s="28">
        <v>851280.26</v>
      </c>
      <c r="I5" s="28">
        <v>2797416.51</v>
      </c>
      <c r="J5" s="28">
        <v>10400367.93</v>
      </c>
      <c r="K5" s="28">
        <v>529945198.81999999</v>
      </c>
      <c r="L5" s="27">
        <v>490</v>
      </c>
      <c r="M5" s="28">
        <v>18534138.739999998</v>
      </c>
      <c r="N5" s="28">
        <v>15262826.84</v>
      </c>
      <c r="O5" s="47">
        <v>1.2142999999999999</v>
      </c>
      <c r="P5" s="47">
        <v>3.5920000000000001E-3</v>
      </c>
      <c r="Q5" s="47">
        <v>1.562E-3</v>
      </c>
      <c r="R5" s="47">
        <v>5.2319999999999997E-3</v>
      </c>
      <c r="S5" s="47">
        <v>6.1005999999999998E-2</v>
      </c>
      <c r="T5" s="28">
        <v>784022.62</v>
      </c>
    </row>
    <row r="6" spans="1:20" x14ac:dyDescent="0.3">
      <c r="A6" s="27" t="s">
        <v>365</v>
      </c>
      <c r="B6" s="27">
        <v>494</v>
      </c>
      <c r="C6" s="28">
        <v>526668698.13</v>
      </c>
      <c r="D6" s="27">
        <v>2</v>
      </c>
      <c r="E6" s="28">
        <v>1785560.51</v>
      </c>
      <c r="F6" s="28">
        <v>1041427.09</v>
      </c>
      <c r="G6" s="28">
        <v>315313.73</v>
      </c>
      <c r="H6" s="28">
        <v>726113.36</v>
      </c>
      <c r="I6" s="28">
        <v>4938969.04</v>
      </c>
      <c r="J6" s="28">
        <v>10068268.800000001</v>
      </c>
      <c r="K6" s="28">
        <v>509875899.77999997</v>
      </c>
      <c r="L6" s="27">
        <v>490</v>
      </c>
      <c r="M6" s="28">
        <v>20062569.850000001</v>
      </c>
      <c r="N6" s="28">
        <v>14746723.550000001</v>
      </c>
      <c r="O6" s="47">
        <v>1.3605</v>
      </c>
      <c r="P6" s="47">
        <v>3.3899999999999998E-3</v>
      </c>
      <c r="Q6" s="47">
        <v>1.379E-3</v>
      </c>
      <c r="R6" s="47">
        <v>9.5610000000000001E-3</v>
      </c>
      <c r="S6" s="47">
        <v>0.10888200000000001</v>
      </c>
      <c r="T6" s="28">
        <v>853892.73</v>
      </c>
    </row>
    <row r="7" spans="1:20" x14ac:dyDescent="0.3">
      <c r="A7" s="27" t="s">
        <v>366</v>
      </c>
      <c r="B7" s="27">
        <v>491</v>
      </c>
      <c r="C7" s="28">
        <v>522623100.66000003</v>
      </c>
      <c r="D7" s="27">
        <v>1</v>
      </c>
      <c r="E7" s="28">
        <v>1970194.34</v>
      </c>
      <c r="F7" s="28">
        <v>1314348.51</v>
      </c>
      <c r="G7" s="28">
        <v>536180.09</v>
      </c>
      <c r="H7" s="28">
        <v>778168.42</v>
      </c>
      <c r="I7" s="28">
        <v>5456620.0499999998</v>
      </c>
      <c r="J7" s="28">
        <v>10097210.99</v>
      </c>
      <c r="K7" s="28">
        <v>505099075.27999997</v>
      </c>
      <c r="L7" s="27">
        <v>488</v>
      </c>
      <c r="M7" s="28">
        <v>20793619.039999999</v>
      </c>
      <c r="N7" s="28">
        <v>14633446.82</v>
      </c>
      <c r="O7" s="47">
        <v>1.421</v>
      </c>
      <c r="P7" s="47">
        <v>3.7699999999999999E-3</v>
      </c>
      <c r="Q7" s="47">
        <v>1.4890000000000001E-3</v>
      </c>
      <c r="R7" s="47">
        <v>1.0647E-2</v>
      </c>
      <c r="S7" s="47">
        <v>0.12053700000000001</v>
      </c>
      <c r="T7" s="28">
        <v>789700.88</v>
      </c>
    </row>
    <row r="8" spans="1:20" x14ac:dyDescent="0.3">
      <c r="A8" s="27" t="s">
        <v>367</v>
      </c>
      <c r="B8" s="27">
        <v>488</v>
      </c>
      <c r="C8" s="28">
        <v>525648455.74000001</v>
      </c>
      <c r="D8" s="27">
        <v>5</v>
      </c>
      <c r="E8" s="28">
        <v>1889937.77</v>
      </c>
      <c r="F8" s="28">
        <v>1188511.72</v>
      </c>
      <c r="G8" s="28">
        <v>477359.38</v>
      </c>
      <c r="H8" s="28">
        <v>711152.34</v>
      </c>
      <c r="I8" s="28">
        <v>5647154.4000000004</v>
      </c>
      <c r="J8" s="28">
        <v>10367059.52</v>
      </c>
      <c r="K8" s="28">
        <v>507744304.05000001</v>
      </c>
      <c r="L8" s="27">
        <v>482</v>
      </c>
      <c r="M8" s="28">
        <v>21222409.399999999</v>
      </c>
      <c r="N8" s="28">
        <v>14718156.76</v>
      </c>
      <c r="O8" s="47">
        <v>1.4419</v>
      </c>
      <c r="P8" s="47">
        <v>3.5950000000000001E-3</v>
      </c>
      <c r="Q8" s="47">
        <v>1.353E-3</v>
      </c>
      <c r="R8" s="47">
        <v>1.0959E-2</v>
      </c>
      <c r="S8" s="47">
        <v>0.12386800000000001</v>
      </c>
      <c r="T8" s="28">
        <v>865793.03</v>
      </c>
    </row>
    <row r="9" spans="1:20" x14ac:dyDescent="0.3">
      <c r="A9" s="27" t="s">
        <v>368</v>
      </c>
      <c r="B9" s="27">
        <v>485</v>
      </c>
      <c r="C9" s="28">
        <v>517763703.79000002</v>
      </c>
      <c r="D9" s="27">
        <v>4</v>
      </c>
      <c r="E9" s="28">
        <v>1938580.14</v>
      </c>
      <c r="F9" s="28">
        <v>1337646.07</v>
      </c>
      <c r="G9" s="28">
        <v>382797.78</v>
      </c>
      <c r="H9" s="28">
        <v>954848.29</v>
      </c>
      <c r="I9" s="28">
        <v>4676920.16</v>
      </c>
      <c r="J9" s="28">
        <v>8880052.0800000001</v>
      </c>
      <c r="K9" s="28">
        <v>502268151.41000003</v>
      </c>
      <c r="L9" s="27">
        <v>479</v>
      </c>
      <c r="M9" s="28">
        <v>18599643.350000001</v>
      </c>
      <c r="N9" s="28">
        <v>14497383.710000001</v>
      </c>
      <c r="O9" s="47">
        <v>1.2829999999999999</v>
      </c>
      <c r="P9" s="47">
        <v>3.7439999999999999E-3</v>
      </c>
      <c r="Q9" s="47">
        <v>1.8439999999999999E-3</v>
      </c>
      <c r="R9" s="47">
        <v>9.1909999999999995E-3</v>
      </c>
      <c r="S9" s="47">
        <v>0.104879</v>
      </c>
      <c r="T9" s="28">
        <v>598442.81999999995</v>
      </c>
    </row>
    <row r="10" spans="1:20" x14ac:dyDescent="0.3">
      <c r="A10" s="27" t="s">
        <v>368</v>
      </c>
      <c r="B10" s="27">
        <v>482</v>
      </c>
      <c r="C10" s="28">
        <v>519858530.57999998</v>
      </c>
      <c r="D10" s="27">
        <v>1</v>
      </c>
      <c r="E10" s="28">
        <v>1332041.68</v>
      </c>
      <c r="F10" s="28">
        <v>945028.32</v>
      </c>
      <c r="G10" s="28">
        <v>366204.63</v>
      </c>
      <c r="H10" s="28">
        <v>578823.68999999994</v>
      </c>
      <c r="I10" s="28">
        <v>5924450.5800000001</v>
      </c>
      <c r="J10" s="28">
        <v>8946032.5800000001</v>
      </c>
      <c r="K10" s="28">
        <v>503656005.74000001</v>
      </c>
      <c r="L10" s="27">
        <v>479</v>
      </c>
      <c r="M10" s="28">
        <v>19915414.57</v>
      </c>
      <c r="N10" s="28">
        <v>14556038.859999999</v>
      </c>
      <c r="O10" s="47">
        <v>1.3682000000000001</v>
      </c>
      <c r="P10" s="47">
        <v>2.562E-3</v>
      </c>
      <c r="Q10" s="47">
        <v>1.1130000000000001E-3</v>
      </c>
      <c r="R10" s="47">
        <v>1.1596E-2</v>
      </c>
      <c r="S10" s="47">
        <v>0.13061</v>
      </c>
      <c r="T10" s="28">
        <v>980751.9</v>
      </c>
    </row>
    <row r="11" spans="1:20" x14ac:dyDescent="0.3">
      <c r="A11" s="27" t="s">
        <v>369</v>
      </c>
      <c r="B11" s="27">
        <v>479</v>
      </c>
      <c r="C11" s="28">
        <v>514958455.07999998</v>
      </c>
      <c r="D11" s="27">
        <v>2</v>
      </c>
      <c r="E11" s="28">
        <v>1105172.72</v>
      </c>
      <c r="F11" s="28">
        <v>707342.69</v>
      </c>
      <c r="G11" s="28">
        <v>249155.72</v>
      </c>
      <c r="H11" s="28">
        <v>458186.97</v>
      </c>
      <c r="I11" s="28">
        <v>3471268.46</v>
      </c>
      <c r="J11" s="28">
        <v>10020219.529999999</v>
      </c>
      <c r="K11" s="28">
        <v>500361794.37</v>
      </c>
      <c r="L11" s="27">
        <v>477</v>
      </c>
      <c r="M11" s="28">
        <v>18375269.809999999</v>
      </c>
      <c r="N11" s="28">
        <v>14418836.74</v>
      </c>
      <c r="O11" s="47">
        <v>1.2744</v>
      </c>
      <c r="P11" s="47">
        <v>2.1459999999999999E-3</v>
      </c>
      <c r="Q11" s="47">
        <v>8.8999999999999995E-4</v>
      </c>
      <c r="R11" s="47">
        <v>6.875E-3</v>
      </c>
      <c r="S11" s="47">
        <v>7.9447000000000004E-2</v>
      </c>
      <c r="T11" s="28">
        <v>1086688.3999999999</v>
      </c>
    </row>
    <row r="12" spans="1:20" x14ac:dyDescent="0.3">
      <c r="A12" s="27" t="s">
        <v>370</v>
      </c>
      <c r="B12" s="27">
        <v>476</v>
      </c>
      <c r="C12" s="28">
        <v>506148667.94999999</v>
      </c>
      <c r="D12" s="27">
        <v>6</v>
      </c>
      <c r="E12" s="28">
        <v>1483220.45</v>
      </c>
      <c r="F12" s="28">
        <v>845514.95</v>
      </c>
      <c r="G12" s="28">
        <v>311675.75</v>
      </c>
      <c r="H12" s="28">
        <v>533839.19999999995</v>
      </c>
      <c r="I12" s="28">
        <v>2859041.63</v>
      </c>
      <c r="J12" s="28">
        <v>8462696.4700000007</v>
      </c>
      <c r="K12" s="28">
        <v>493343709.39999998</v>
      </c>
      <c r="L12" s="27">
        <v>469</v>
      </c>
      <c r="M12" s="28">
        <v>16188751.859999999</v>
      </c>
      <c r="N12" s="28">
        <v>14172162.699999999</v>
      </c>
      <c r="O12" s="47">
        <v>1.1423000000000001</v>
      </c>
      <c r="P12" s="47">
        <v>2.9299999999999999E-3</v>
      </c>
      <c r="Q12" s="47">
        <v>1.0549999999999999E-3</v>
      </c>
      <c r="R12" s="47">
        <v>5.7450000000000001E-3</v>
      </c>
      <c r="S12" s="47">
        <v>6.6798999999999997E-2</v>
      </c>
      <c r="T12" s="28">
        <v>984606.8</v>
      </c>
    </row>
    <row r="13" spans="1:20" x14ac:dyDescent="0.3">
      <c r="A13" s="27" t="s">
        <v>371</v>
      </c>
      <c r="B13" s="27">
        <v>473</v>
      </c>
      <c r="C13" s="28">
        <v>503635609.17000002</v>
      </c>
      <c r="D13" s="27">
        <v>1</v>
      </c>
      <c r="E13" s="28">
        <v>1315079.96</v>
      </c>
      <c r="F13" s="28">
        <v>959432.09</v>
      </c>
      <c r="G13" s="28">
        <v>405255.55</v>
      </c>
      <c r="H13" s="28">
        <v>554176.54</v>
      </c>
      <c r="I13" s="28">
        <v>4081426.89</v>
      </c>
      <c r="J13" s="28">
        <v>9468448.8399999999</v>
      </c>
      <c r="K13" s="28">
        <v>488770653.48000002</v>
      </c>
      <c r="L13" s="27">
        <v>472</v>
      </c>
      <c r="M13" s="28">
        <v>18487851.760000002</v>
      </c>
      <c r="N13" s="28">
        <v>14101797.060000001</v>
      </c>
      <c r="O13" s="47">
        <v>1.3109999999999999</v>
      </c>
      <c r="P13" s="47">
        <v>2.611E-3</v>
      </c>
      <c r="Q13" s="47">
        <v>1.1000000000000001E-3</v>
      </c>
      <c r="R13" s="47">
        <v>8.2590000000000007E-3</v>
      </c>
      <c r="S13" s="47">
        <v>9.4729999999999995E-2</v>
      </c>
      <c r="T13" s="28">
        <v>956730.29</v>
      </c>
    </row>
    <row r="14" spans="1:20" x14ac:dyDescent="0.3">
      <c r="A14" s="27" t="s">
        <v>372</v>
      </c>
      <c r="B14" s="27">
        <v>470</v>
      </c>
      <c r="C14" s="28">
        <v>486751610.60000002</v>
      </c>
      <c r="D14" s="27">
        <v>1</v>
      </c>
      <c r="E14" s="28">
        <v>867929.93</v>
      </c>
      <c r="F14" s="28">
        <v>568012.85</v>
      </c>
      <c r="G14" s="28">
        <v>164533.59</v>
      </c>
      <c r="H14" s="28">
        <v>403479.26</v>
      </c>
      <c r="I14" s="28">
        <v>2592682.4500000002</v>
      </c>
      <c r="J14" s="28">
        <v>9060753.9499999993</v>
      </c>
      <c r="K14" s="28">
        <v>474230244.26999998</v>
      </c>
      <c r="L14" s="27">
        <v>468</v>
      </c>
      <c r="M14" s="28">
        <v>16198734.49</v>
      </c>
      <c r="N14" s="28">
        <v>13629045.1</v>
      </c>
      <c r="O14" s="47">
        <v>1.1884999999999999</v>
      </c>
      <c r="P14" s="47">
        <v>1.7830000000000001E-3</v>
      </c>
      <c r="Q14" s="47">
        <v>8.2899999999999998E-4</v>
      </c>
      <c r="R14" s="47">
        <v>5.4279999999999997E-3</v>
      </c>
      <c r="S14" s="47">
        <v>6.3220999999999999E-2</v>
      </c>
      <c r="T14" s="28">
        <v>1056775.57</v>
      </c>
    </row>
    <row r="15" spans="1:20" x14ac:dyDescent="0.3">
      <c r="A15" s="27" t="s">
        <v>243</v>
      </c>
      <c r="B15" s="27">
        <v>467</v>
      </c>
      <c r="C15" s="28">
        <v>481475300.95999998</v>
      </c>
      <c r="D15" s="27">
        <v>2</v>
      </c>
      <c r="E15" s="28">
        <v>1121234.48</v>
      </c>
      <c r="F15" s="28">
        <v>738154.1</v>
      </c>
      <c r="G15" s="28">
        <v>319091.95</v>
      </c>
      <c r="H15" s="28">
        <v>419062.15</v>
      </c>
      <c r="I15" s="28">
        <v>2301243.67</v>
      </c>
      <c r="J15" s="28">
        <v>7903317.9199999999</v>
      </c>
      <c r="K15" s="28">
        <v>470149504.88999999</v>
      </c>
      <c r="L15" s="27">
        <v>465</v>
      </c>
      <c r="M15" s="28">
        <v>14856931.25</v>
      </c>
      <c r="N15" s="28">
        <v>13481308.43</v>
      </c>
      <c r="O15" s="47">
        <v>1.1020000000000001</v>
      </c>
      <c r="P15" s="47">
        <v>2.3289999999999999E-3</v>
      </c>
      <c r="Q15" s="47">
        <v>8.7000000000000001E-4</v>
      </c>
      <c r="R15" s="47">
        <v>4.8589999999999996E-3</v>
      </c>
      <c r="S15" s="47">
        <v>5.6778000000000002E-2</v>
      </c>
      <c r="T15" s="28">
        <v>1025363.75</v>
      </c>
    </row>
    <row r="18" spans="1:5" x14ac:dyDescent="0.3">
      <c r="A18" s="52" t="s">
        <v>373</v>
      </c>
      <c r="B18" s="53"/>
      <c r="C18" s="53"/>
      <c r="D18" s="53"/>
      <c r="E18" s="53"/>
    </row>
    <row r="19" spans="1:5" x14ac:dyDescent="0.3">
      <c r="A19" s="26" t="s">
        <v>374</v>
      </c>
      <c r="B19" s="26" t="s">
        <v>254</v>
      </c>
      <c r="C19" s="26" t="s">
        <v>375</v>
      </c>
      <c r="D19" s="26" t="s">
        <v>376</v>
      </c>
      <c r="E19" s="26" t="s">
        <v>257</v>
      </c>
    </row>
    <row r="20" spans="1:5" x14ac:dyDescent="0.3">
      <c r="A20" s="35" t="s">
        <v>377</v>
      </c>
      <c r="B20" s="40">
        <f>SUM(H4:H15)</f>
        <v>7784155.5999999987</v>
      </c>
      <c r="C20" s="28">
        <f>SUM(H4:H15)</f>
        <v>7784155.5999999987</v>
      </c>
      <c r="D20" s="30">
        <v>0</v>
      </c>
      <c r="E20" s="27" t="str">
        <f t="shared" ref="E20:E25" si="0">IF(ABS(C20-D20)&lt;1,"Match","Check")</f>
        <v>Check</v>
      </c>
    </row>
    <row r="21" spans="1:5" x14ac:dyDescent="0.3">
      <c r="A21" s="35" t="s">
        <v>378</v>
      </c>
      <c r="B21" s="40">
        <f>AVERAGE(P4:P15)</f>
        <v>3.0119166666666662E-3</v>
      </c>
      <c r="C21" s="47">
        <f>AVERAGE(P4:P15)</f>
        <v>3.0119166666666662E-3</v>
      </c>
      <c r="D21" s="49">
        <v>0</v>
      </c>
      <c r="E21" s="27" t="str">
        <f t="shared" si="0"/>
        <v>Match</v>
      </c>
    </row>
    <row r="22" spans="1:5" x14ac:dyDescent="0.3">
      <c r="A22" s="35" t="s">
        <v>379</v>
      </c>
      <c r="B22" s="40">
        <f>AVERAGE(S4:S15)</f>
        <v>9.3286833333333333E-2</v>
      </c>
      <c r="C22" s="47">
        <f>AVERAGE(S4:S15)</f>
        <v>9.3286833333333333E-2</v>
      </c>
      <c r="D22" s="49">
        <v>0</v>
      </c>
      <c r="E22" s="27" t="str">
        <f t="shared" si="0"/>
        <v>Match</v>
      </c>
    </row>
    <row r="23" spans="1:5" x14ac:dyDescent="0.3">
      <c r="A23" s="35" t="s">
        <v>380</v>
      </c>
      <c r="B23" s="40">
        <f>SUM(I4:I15)</f>
        <v>49823629.95000001</v>
      </c>
      <c r="C23" s="28">
        <f>SUM(I4:I15)</f>
        <v>49823629.95000001</v>
      </c>
      <c r="D23" s="30">
        <v>0</v>
      </c>
      <c r="E23" s="27" t="str">
        <f t="shared" si="0"/>
        <v>Check</v>
      </c>
    </row>
    <row r="24" spans="1:5" x14ac:dyDescent="0.3">
      <c r="A24" s="35" t="s">
        <v>381</v>
      </c>
      <c r="B24" s="40">
        <f>AVERAGE(O4:O15)</f>
        <v>1.2911999999999999</v>
      </c>
      <c r="C24" s="47">
        <f>AVERAGE(O4:O15)</f>
        <v>1.2911999999999999</v>
      </c>
      <c r="D24" s="49">
        <v>0</v>
      </c>
      <c r="E24" s="27" t="str">
        <f t="shared" si="0"/>
        <v>Check</v>
      </c>
    </row>
    <row r="25" spans="1:5" x14ac:dyDescent="0.3">
      <c r="A25" s="35" t="s">
        <v>382</v>
      </c>
      <c r="B25" s="40">
        <f>SUM(T4:T15)</f>
        <v>10795657.42</v>
      </c>
      <c r="C25" s="28">
        <f>SUM(T4:T15)</f>
        <v>10795657.42</v>
      </c>
      <c r="D25" s="30">
        <v>0</v>
      </c>
      <c r="E25" s="27" t="str">
        <f t="shared" si="0"/>
        <v>Check</v>
      </c>
    </row>
  </sheetData>
  <mergeCells count="2">
    <mergeCell ref="A1:T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DAX Measure Dictionary</vt:lpstr>
      <vt:lpstr>ECL Crosscheck</vt:lpstr>
      <vt:lpstr>Waterfall Validation</vt:lpstr>
      <vt:lpstr>Vintage Static Pool</vt:lpstr>
      <vt:lpstr>Dynamic Loss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shivji singh yadav</cp:lastModifiedBy>
  <dcterms:created xsi:type="dcterms:W3CDTF">2026-05-29T20:48:39Z</dcterms:created>
  <dcterms:modified xsi:type="dcterms:W3CDTF">2026-05-29T21:05:38Z</dcterms:modified>
</cp:coreProperties>
</file>